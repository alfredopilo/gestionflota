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afabrilsa-my.sharepoint.com/personal/vtraverso_transmonserrate_com_ec/Documents/Desktop/"/>
    </mc:Choice>
  </mc:AlternateContent>
  <xr:revisionPtr revIDLastSave="1" documentId="8_{35FF6C5E-B89E-4CF1-9D84-2F7282DB545C}" xr6:coauthVersionLast="47" xr6:coauthVersionMax="47" xr10:uidLastSave="{744E454A-F269-4BA5-BC2C-7DDF8CC1120E}"/>
  <bookViews>
    <workbookView xWindow="-110" yWindow="-110" windowWidth="19420" windowHeight="11020" xr2:uid="{00000000-000D-0000-FFFF-FFFF00000000}"/>
  </bookViews>
  <sheets>
    <sheet name="VehiculosTransmonserrate2025" sheetId="7" r:id="rId1"/>
  </sheets>
  <definedNames>
    <definedName name="_xlnm._FilterDatabase" localSheetId="0" hidden="1">VehiculosTransmonserrate2025!$A$3:$N$99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69" i="7" l="1"/>
  <c r="N68" i="7"/>
  <c r="N98" i="7"/>
  <c r="N97" i="7"/>
  <c r="N96" i="7"/>
  <c r="N95" i="7"/>
  <c r="N94" i="7"/>
  <c r="N93" i="7"/>
  <c r="N92" i="7"/>
  <c r="N54" i="7"/>
  <c r="N53" i="7"/>
  <c r="N52" i="7"/>
  <c r="N51" i="7"/>
  <c r="N50" i="7"/>
  <c r="N49" i="7"/>
  <c r="N47" i="7"/>
  <c r="N67" i="7"/>
  <c r="N66" i="7"/>
  <c r="N65" i="7"/>
  <c r="N64" i="7"/>
  <c r="N88" i="7"/>
  <c r="N87" i="7"/>
  <c r="N86" i="7"/>
  <c r="N85" i="7"/>
  <c r="N84" i="7"/>
  <c r="N83" i="7"/>
  <c r="N82" i="7"/>
  <c r="N81" i="7"/>
  <c r="N80" i="7"/>
  <c r="N79" i="7"/>
  <c r="N72" i="7"/>
  <c r="N73" i="7"/>
  <c r="N63" i="7"/>
  <c r="N34" i="7" l="1"/>
  <c r="N33" i="7"/>
  <c r="N46" i="7"/>
  <c r="N45" i="7"/>
  <c r="N43" i="7"/>
  <c r="N42" i="7"/>
  <c r="N41" i="7"/>
  <c r="N40" i="7"/>
  <c r="N39" i="7"/>
  <c r="N29" i="7"/>
  <c r="N26" i="7"/>
  <c r="N44" i="7"/>
  <c r="N38" i="7"/>
  <c r="N35" i="7"/>
  <c r="N32" i="7"/>
  <c r="N91" i="7"/>
  <c r="N90" i="7"/>
  <c r="N89" i="7"/>
  <c r="N75" i="7"/>
  <c r="N13" i="7"/>
  <c r="N15" i="7"/>
  <c r="N17" i="7"/>
  <c r="N9" i="7"/>
  <c r="N7" i="7"/>
  <c r="N25" i="7"/>
  <c r="N37" i="7"/>
  <c r="N36" i="7"/>
  <c r="N28" i="7"/>
  <c r="N27" i="7"/>
  <c r="N31" i="7"/>
  <c r="N30" i="7"/>
  <c r="N60" i="7"/>
  <c r="N59" i="7"/>
  <c r="N57" i="7"/>
  <c r="N56" i="7"/>
  <c r="N19" i="7"/>
  <c r="N5" i="7"/>
  <c r="N74" i="7"/>
  <c r="N48" i="7" l="1"/>
  <c r="N23" i="7"/>
  <c r="N11" i="7"/>
  <c r="N21" i="7"/>
  <c r="N71" i="7"/>
  <c r="N78" i="7"/>
  <c r="N77" i="7"/>
  <c r="N76" i="7"/>
  <c r="N12" i="7"/>
  <c r="N24" i="7"/>
  <c r="N14" i="7"/>
  <c r="N16" i="7"/>
  <c r="N10" i="7"/>
  <c r="N8" i="7"/>
  <c r="N6" i="7"/>
  <c r="N4" i="7"/>
  <c r="N20" i="7"/>
  <c r="N18" i="7"/>
  <c r="N22" i="7"/>
  <c r="N61" i="7"/>
  <c r="N62" i="7"/>
  <c r="N55" i="7"/>
  <c r="N58" i="7"/>
  <c r="N70" i="7" l="1"/>
  <c r="N99" i="7" s="1"/>
</calcChain>
</file>

<file path=xl/sharedStrings.xml><?xml version="1.0" encoding="utf-8"?>
<sst xmlns="http://schemas.openxmlformats.org/spreadsheetml/2006/main" count="894" uniqueCount="334">
  <si>
    <t>PLACA</t>
  </si>
  <si>
    <t>COLOR</t>
  </si>
  <si>
    <t>MBB-8300</t>
  </si>
  <si>
    <t>N/D</t>
  </si>
  <si>
    <t xml:space="preserve">ITEM </t>
  </si>
  <si>
    <t>MARCA</t>
  </si>
  <si>
    <t>MODELO</t>
  </si>
  <si>
    <t xml:space="preserve">TIPO </t>
  </si>
  <si>
    <t>AÑO</t>
  </si>
  <si>
    <t>MOTOR</t>
  </si>
  <si>
    <t xml:space="preserve">CHASIS </t>
  </si>
  <si>
    <t>EXTRAS</t>
  </si>
  <si>
    <t>DESCRIPCION EXTRAS</t>
  </si>
  <si>
    <t>VALOR TOTAL</t>
  </si>
  <si>
    <t>FREIGHTLINER</t>
  </si>
  <si>
    <t>VERDE</t>
  </si>
  <si>
    <t>AZUL</t>
  </si>
  <si>
    <t>M2 112T</t>
  </si>
  <si>
    <t>TRACTO CAMION</t>
  </si>
  <si>
    <t>ROJO</t>
  </si>
  <si>
    <t>BLANCO</t>
  </si>
  <si>
    <t>460914U0970319</t>
  </si>
  <si>
    <t>3AKJC5CV2DDFE1796</t>
  </si>
  <si>
    <t>PAC-8135</t>
  </si>
  <si>
    <t>460914U0987210</t>
  </si>
  <si>
    <t>3AKJC5CV7EDFV7286</t>
  </si>
  <si>
    <t>AZUL - BLANCO</t>
  </si>
  <si>
    <t>MACK</t>
  </si>
  <si>
    <t>CXU613E AC 12.8 2P 6X4 TM</t>
  </si>
  <si>
    <t>MP81187995</t>
  </si>
  <si>
    <t>1M1AW07Y7JM088246</t>
  </si>
  <si>
    <t>MP81187853</t>
  </si>
  <si>
    <t>1M1AW07Y5JM088245</t>
  </si>
  <si>
    <t xml:space="preserve">ANARANJADO </t>
  </si>
  <si>
    <t xml:space="preserve">AMARILLO </t>
  </si>
  <si>
    <t>CABEZAL - T</t>
  </si>
  <si>
    <t>FABRICACION NACIONAL</t>
  </si>
  <si>
    <t>CHEVROLET</t>
  </si>
  <si>
    <t>LUV D-MAX 2.5L DIESEL CS TM 4X2 OPTIMA</t>
  </si>
  <si>
    <t>4JA1287148</t>
  </si>
  <si>
    <t>8LBDTF4L8D0187591</t>
  </si>
  <si>
    <t>MBA8187</t>
  </si>
  <si>
    <t>PLATEADO</t>
  </si>
  <si>
    <t>PICK UP</t>
  </si>
  <si>
    <t>CAMIONETA A DIESEL</t>
  </si>
  <si>
    <t>AN64TX AC 12.8 2P 6X4 TM</t>
  </si>
  <si>
    <t>MAA-5449</t>
  </si>
  <si>
    <t>MAA-5448</t>
  </si>
  <si>
    <t>COMPAÑÍA DE TRANSPORTE DE CARGA PESADA VIRGEN DE MONSERRATE</t>
  </si>
  <si>
    <t>GBP-1800</t>
  </si>
  <si>
    <t>GBP-1801</t>
  </si>
  <si>
    <t>GBP-2194</t>
  </si>
  <si>
    <t>MP81278700</t>
  </si>
  <si>
    <t>1M1AN4HY8LM002633</t>
  </si>
  <si>
    <t>MP81261943</t>
  </si>
  <si>
    <t>1M1AN4HY5LM002419</t>
  </si>
  <si>
    <t>MP81282275</t>
  </si>
  <si>
    <t>1M1AN4HY8LM002650</t>
  </si>
  <si>
    <t>M2112 AC 12.8</t>
  </si>
  <si>
    <t>460908U1050224</t>
  </si>
  <si>
    <t>3AKJC5CV8MDKY3445</t>
  </si>
  <si>
    <t>MAA-7270</t>
  </si>
  <si>
    <t>460908U1050334</t>
  </si>
  <si>
    <t>460908U1050240</t>
  </si>
  <si>
    <t>460908U1050245</t>
  </si>
  <si>
    <t>3AKJC5CV8MDKY3443</t>
  </si>
  <si>
    <t>MAA-7271</t>
  </si>
  <si>
    <t>MAA-7272</t>
  </si>
  <si>
    <t>MAA-7273</t>
  </si>
  <si>
    <t>3AKJC5CV8MDKY3441</t>
  </si>
  <si>
    <t>3AKJC5CV8MDKY3444</t>
  </si>
  <si>
    <t>MAA-6421</t>
  </si>
  <si>
    <t>NEGRO</t>
  </si>
  <si>
    <t>MP81235400</t>
  </si>
  <si>
    <t>1M1AN4HYXKM001742</t>
  </si>
  <si>
    <t>CARAVANA #1</t>
  </si>
  <si>
    <t>CARAVANA #2</t>
  </si>
  <si>
    <t>AZUL - VERDE</t>
  </si>
  <si>
    <t>VOLQUETA</t>
  </si>
  <si>
    <t>GMT-887</t>
  </si>
  <si>
    <t>MBC-2289</t>
  </si>
  <si>
    <t>CAMC</t>
  </si>
  <si>
    <t>C3002087641811</t>
  </si>
  <si>
    <t>LZ5N2CD34DB001962</t>
  </si>
  <si>
    <t>MAA-8137</t>
  </si>
  <si>
    <t>3AKJC5CV1PDNH7190</t>
  </si>
  <si>
    <t>460914U1025991</t>
  </si>
  <si>
    <t>MAA-8138</t>
  </si>
  <si>
    <t>3AKJC5CV3PDNH7191</t>
  </si>
  <si>
    <t>460914U1027105</t>
  </si>
  <si>
    <t>MAA-8139</t>
  </si>
  <si>
    <t>3AKJC5CV0PDNH7195</t>
  </si>
  <si>
    <t>460908U1069759</t>
  </si>
  <si>
    <t>MAA-8140</t>
  </si>
  <si>
    <t>3AKJC5CV4PDNH7197</t>
  </si>
  <si>
    <t>460908U1069543</t>
  </si>
  <si>
    <t>CARAVANA #3</t>
  </si>
  <si>
    <t>23 TON</t>
  </si>
  <si>
    <t>20 TON</t>
  </si>
  <si>
    <t>15 TON</t>
  </si>
  <si>
    <t>GRIS</t>
  </si>
  <si>
    <t>MBG2071</t>
  </si>
  <si>
    <t>TRACKER LTZ TURBO AC 1.2 5P 4X2 TA</t>
  </si>
  <si>
    <t>JEEP</t>
  </si>
  <si>
    <t>PLOMO</t>
  </si>
  <si>
    <t>L4H221440572</t>
  </si>
  <si>
    <t>9BGEN76COPB209185</t>
  </si>
  <si>
    <t>SIN EXTRAS</t>
  </si>
  <si>
    <t>CR-1449</t>
  </si>
  <si>
    <t>INOXKING</t>
  </si>
  <si>
    <t>S3</t>
  </si>
  <si>
    <t>NO DISPONIBLE</t>
  </si>
  <si>
    <t>NO APLICA</t>
  </si>
  <si>
    <t>CR-1434</t>
  </si>
  <si>
    <t>TANQUE TERMICO</t>
  </si>
  <si>
    <t>ACERO INOXIDABLE</t>
  </si>
  <si>
    <t>CR-1425</t>
  </si>
  <si>
    <t>8R8RNXS36L9J04220</t>
  </si>
  <si>
    <t>CR-1433</t>
  </si>
  <si>
    <t>CR-1423</t>
  </si>
  <si>
    <t>CHASIS PORTA CONTENEDOR</t>
  </si>
  <si>
    <t>VALOR CASCO / CHASIS</t>
  </si>
  <si>
    <t>CONTENEDOR 45'</t>
  </si>
  <si>
    <t>CONTENEDOR SECO</t>
  </si>
  <si>
    <t>ESTRUCTURA DE HIERRO NEGRO, EQUIPADO CON 3 EJES Y SISTEMAS DE SUSPENCIÓN INDEPENDIENTE  CON PORTA LLANTA DE EMERGENCIA Y SISTEMA DE LUMINARIAS POSTERIORES. 13,20m x 4,10m x 2,50m.</t>
  </si>
  <si>
    <t>CR-1431</t>
  </si>
  <si>
    <t>8R8RNXS31D9J04224</t>
  </si>
  <si>
    <t>CR-1432</t>
  </si>
  <si>
    <t>8R8RFNS35D9J04261</t>
  </si>
  <si>
    <t>CR-1435</t>
  </si>
  <si>
    <t>CR-1439</t>
  </si>
  <si>
    <t xml:space="preserve">TANQUE </t>
  </si>
  <si>
    <t>CR-1430</t>
  </si>
  <si>
    <t>8R8RNXS37DJ9J04227</t>
  </si>
  <si>
    <t>CR-1440</t>
  </si>
  <si>
    <t>8R8RNXS37L9J04226</t>
  </si>
  <si>
    <t>CR-1409</t>
  </si>
  <si>
    <t>8R8RNFNS30J9R04221</t>
  </si>
  <si>
    <t>8R8RNXS37J9G04222</t>
  </si>
  <si>
    <t>CR-1441</t>
  </si>
  <si>
    <t>8R8RNXS31L9J04223</t>
  </si>
  <si>
    <t>MTOP</t>
  </si>
  <si>
    <t>S2</t>
  </si>
  <si>
    <t>ESTRUCTURA DE HIERRO NEGRO, EQUIPADO CON 2 EJES Y SISTEMAS DE SUSPENCIÓN INDEPENDIENTE  CON PORTA LLANTA DE EMERGENCIA Y SISTEMA DE LUMINARIAS POSTERIORES. 12,00m.</t>
  </si>
  <si>
    <t>CONTENEDOR 40'</t>
  </si>
  <si>
    <t>ESTRUCTURA ASTM A36 CONTENEDOR STANDARD 40" (LFSA#1), PISO DE MADERA CON RECUBRIMIENTO DE PLANCHAS DE ACERO CORRUGADO, VIGAS CANAL "U" Y PERFILES "U". 12,00m x 2,40m x 2,60m.</t>
  </si>
  <si>
    <t>ESTRUCTURA ASTM A36 CONTENEDOR STANDARD 40" (LFSA#2), PISO DE MADERA CON RECUBRIMIENTO DE PLANCHAS DE ACERO CORRUGADO, VIGAS CANAL "U" Y PERFILES "U". 12,00m x 2,40m x 2,60m.</t>
  </si>
  <si>
    <t>ESTRUCTURA ASTM A36 HIGH CUBE (#05), PISO DE MADERA CON RECUBRIMIENTO DE PLANCHAS DE ACERO CORRUGADO, VIGAS CANAL "U" Y PERFILES "U". 13,20m x 4,10m x 2,60m.</t>
  </si>
  <si>
    <t>ESTRUCTURA DE HIERRO NEGRO, EQUIPADO CON 3 EJES Y SISTEMAS DE SUSPENCIÓN INDEPENDIENTE  CON PORTA LLANTA DE EMERGENCIA Y SISTEMA DE LUMINARIAS POSTERIORES. 13,20m.</t>
  </si>
  <si>
    <t>ESTRUCTURA ASTM A36 HIGH CUBE (#02), PISO DE MADERA CON RECUBRIMIENTO DE PLANCHAS DE ACERO CORRUGADO, VIGAS CANAL "U" Y PERFILES "U". 13,20m x 4,10m x 2,60m.</t>
  </si>
  <si>
    <t>N/A</t>
  </si>
  <si>
    <t>ESTRUCTURA ASTM A36 HIGH CUBE (#04), PISO DE MADERA CON RECUBRIMIENTO DE PLANCHAS DE ACERO CORRUGADO, VIGAS CANAL "U" Y PERFILES "U". 13,20m x 4,10m x 2,50m.</t>
  </si>
  <si>
    <t>BAÑERA (#1). ESTRUCTURA METALICA DE ALUMINIO NAVAL CON CHASIS COMPACTO DE ESTRUCTURA DE HIERRO NEGRO, EQUIPADO CON 3 EJES Y SISTEMAS DE SUSPENCIÓN INDEPENDIENTE  CON PORTA LLANTA DE EMERGENCIA Y SISTEMA DE LUMINARIAS POSTERIORES. 13,20m x 4,10m x 2,50m.</t>
  </si>
  <si>
    <t>BAÑERA BASCULANTE</t>
  </si>
  <si>
    <t xml:space="preserve">CHASIS CABINADO CON TANQUERO TERMICO DE ACERO INOXIDABLE (20 TONELADAS). </t>
  </si>
  <si>
    <t>BAÑERA (#3). ESTRUCTURA METALICA DE ALUMINIO NAVAL CON CHASIS COMPACTO DE ESTRUCTURA DE HIERRO NEGRO, EQUIPADO CON 3 EJES Y SISTEMAS DE SUSPENCIÓN INDEPENDIENTE  CON PORTA LLANTA DE EMERGENCIA Y SISTEMA DE LUMINARIAS POSTERIORES. 13,20m x 4,10m x 2,50m.</t>
  </si>
  <si>
    <t xml:space="preserve">TERMICO (#07) CON ESTRUCTURA DE ACERO INOXIDABLE EN CILINDRO CON CHASIS COMPACTO DE ESTRUCTURA DE HIERRO NEGRO, EQUIPADO CON 3 EJES Y SISTEMAS DE SUSPENCIÓN INDEPENDIENTE  CON PORTA LLANTA DE EMERGENCIA Y SISTEMA DE LUMINARIAS POSTERIORES. 12m x 3,60m X 2,60m. </t>
  </si>
  <si>
    <t xml:space="preserve">INOXIDABLE (#03) CON ESTRUCTURA DE ACERO INOXIDABLE EN CILINDRO CON CHASIS COMPACTO DE ESTRUCTURA DE HIERRO NEGRO, EQUIPADO CON 3 EJES Y SISTEMAS DE SUSPENCIÓN INDEPENDIENTE  CON PORTA LLANTA DE EMERGENCIA Y SISTEMA DE LUMINARIAS POSTERIORES. 12m x 3,60m X 2,60m. </t>
  </si>
  <si>
    <t xml:space="preserve">TERMICO (#04) CON ESTRUCTURA DE ACERO INOXIDABLE EN CILINDRO CON CHASIS COMPACTO DE ESTRUCTURA DE HIERRO NEGRO, EQUIPADO CON 3 EJES Y SISTEMAS DE SUSPENCIÓN INDEPENDIENTE  CON PORTA LLANTA DE EMERGENCIA Y SISTEMA DE LUMINARIAS POSTERIORES. 12m x 3,60m X 2,60m. </t>
  </si>
  <si>
    <t xml:space="preserve">TERMICO (#10) CON ESTRUCTURA DE ACERO INOXIDABLE EN CILINDRO CON CHASIS COMPACTO DE ESTRUCTURA DE HIERRO NEGRO, EQUIPADO CON 3 EJES Y SISTEMAS DE SUSPENCIÓN INDEPENDIENTE  CON PORTA LLANTA DE EMERGENCIA Y SISTEMA DE LUMINARIAS POSTERIORES. 12m x 3,60m X 2,60m. </t>
  </si>
  <si>
    <t xml:space="preserve">TERMICO (#11) CON ESTRUCTURA DE ACERO INOXIDABLE EN CILINDRO CON CHASIS COMPACTO DE ESTRUCTURA DE HIERRO NEGRO, EQUIPADO CON 3 EJES Y SISTEMAS DE SUSPENCIÓN INDEPENDIENTE  CON PORTA LLANTA DE EMERGENCIA Y SISTEMA DE LUMINARIAS POSTERIORES. 12m x 3,60m X 2,60m. </t>
  </si>
  <si>
    <t xml:space="preserve">TERMICO (#12) CON ESTRUCTURA DE ACERO INOXIDABLE EN CILINDRO CON CHASIS COMPACTO DE ESTRUCTURA DE HIERRO NEGRO, EQUIPADO CON 3 EJES Y SISTEMAS DE SUSPENCIÓN INDEPENDIENTE  CON PORTA LLANTA DE EMERGENCIA Y SISTEMA DE LUMINARIAS POSTERIORES. 12m x 3,60m X 2,60m. </t>
  </si>
  <si>
    <t xml:space="preserve">TERMICO (#13) CON ESTRUCTURA DE ACERO INOXIDABLE EN CILINDRO CON CHASIS COMPACTO DE ESTRUCTURA DE HIERRO NEGRO, EQUIPADO CON 3 EJES Y SISTEMAS DE SUSPENCIÓN INDEPENDIENTE  CON PORTA LLANTA DE EMERGENCIA Y SISTEMA DE LUMINARIAS POSTERIORES. 12m x 3,60m X 2,60m. </t>
  </si>
  <si>
    <t>8R8RFNS39D9J04259</t>
  </si>
  <si>
    <t xml:space="preserve">INOXIDABLE (#02) CON ESTRUCTURA DE ACERO INOXIDABLE EN CILINDRO CON CHASIS COMPACTO DE ESTRUCTURA DE HIERRO NEGRO, EQUIPADO CON 3 EJES Y SISTEMAS DE SUSPENCIÓN INDEPENDIENTE  CON PORTA LLANTA DE EMERGENCIA Y SISTEMA DE LUMINARIAS POSTERIORES. 12m x 3,60m X 2,60m. </t>
  </si>
  <si>
    <t xml:space="preserve">TERMICO (#06) CON ESTRUCTURA DE ACERO INOXIDABLE EN CILINDRO CON CHASIS COMPACTO DE ESTRUCTURA DE HIERRO NEGRO, EQUIPADO CON 3 EJES Y SISTEMAS DE SUSPENCIÓN INDEPENDIENTE  CON PORTA LLANTA DE EMERGENCIA Y SISTEMA DE LUMINARIAS POSTERIORES. 12m x 3,60m X 2,60m. </t>
  </si>
  <si>
    <t xml:space="preserve">TERMICO (#15) CON ESTRUCTURA DE ACERO INOXIDABLE EN CILINDRO CON CHASIS COMPACTO DE ESTRUCTURA DE HIERRO NEGRO, EQUIPADO CON 3 EJES Y SISTEMAS DE SUSPENCIÓN INDEPENDIENTE  CON PORTA LLANTA DE EMERGENCIA Y SISTEMA DE LUMINARIAS POSTERIORES. 12m x 3,60m X 2,60m. </t>
  </si>
  <si>
    <t xml:space="preserve">TERMICO (#08) CON ESTRUCTURA DE ACERO INOXIDABLE EN CILINDRO CON CHASIS COMPACTO DE ESTRUCTURA DE HIERRO NEGRO, EQUIPADO CON 3 EJES Y SISTEMAS DE SUSPENCIÓN INDEPENDIENTE  CON PORTA LLANTA DE EMERGENCIA Y SISTEMA DE LUMINARIAS POSTERIORES. 12m x 3,60m X 2,60m. </t>
  </si>
  <si>
    <t xml:space="preserve">TERMICO (#14) CON ESTRUCTURA DE ACERO INOXIDABLE EN CILINDRO CON CHASIS COMPACTO DE ESTRUCTURA DE HIERRO NEGRO, EQUIPADO CON 3 EJES Y SISTEMAS DE SUSPENCIÓN INDEPENDIENTE  CON PORTA LLANTA DE EMERGENCIA Y SISTEMA DE LUMINARIAS POSTERIORES. 12m x 3,60m X 2,60m. </t>
  </si>
  <si>
    <t>HIERRO NEGRO</t>
  </si>
  <si>
    <t xml:space="preserve">TERMICO (#09) CON ESTRUCTURA DE HIERRO NEGRO EN CILINDRO CON CHASIS COMPACTO DE ESTRUCTURA DE HIERRO NEGRO, EQUIPADO CON 3 EJES Y SISTEMAS DE SUSPENCIÓN INDEPENDIENTE  CON PORTA LLANTA DE EMERGENCIA Y SISTEMA DE LUMINARIAS POSTERIORES. 12m x 3,60m X 2,60m. </t>
  </si>
  <si>
    <t>46A</t>
  </si>
  <si>
    <t>46B</t>
  </si>
  <si>
    <t>8R8RFNS30J9R04221</t>
  </si>
  <si>
    <t>48 POSICIONES. ESTRUCTURA DE HIERRO NEGRO, EQUIPADO CON 3 EJES Y SISTEMAS DE SUSPENCIÓN INDEPENDIENTE  CON PORTA LLANTA DE EMERGENCIA Y SISTEMA DE LUMINARIAS POSTERIORES. CORTINAS DE LONA IMPRESA. 13,20m x 4,10m x 2,50m.</t>
  </si>
  <si>
    <t>60 POSICIONES. ESTRUCTURA DE HIERRO NEGRO, EQUIPADO CON 3 EJES Y SISTEMAS DE SUSPENCIÓN INDEPENDIENTE  CON PORTA LLANTA DE EMERGENCIA Y SISTEMA DE LUMINARIAS POSTERIORES. CORTINAS DE LONA IMPRESA. 13,20m x 4,10m x 2,50m.</t>
  </si>
  <si>
    <t xml:space="preserve">AZUL </t>
  </si>
  <si>
    <t>MAA-7913</t>
  </si>
  <si>
    <t>SHACMAN</t>
  </si>
  <si>
    <t>X5000 SX41855R361</t>
  </si>
  <si>
    <t>LZGJD4R19SX001159</t>
  </si>
  <si>
    <t>FOTON</t>
  </si>
  <si>
    <t>MAA-7914</t>
  </si>
  <si>
    <t>MAA-7915</t>
  </si>
  <si>
    <t>MAA-7916</t>
  </si>
  <si>
    <t>MAA-7917</t>
  </si>
  <si>
    <t>MAA-7918</t>
  </si>
  <si>
    <t>MAA-7919</t>
  </si>
  <si>
    <t>MAA-7920</t>
  </si>
  <si>
    <t>MAA-7921</t>
  </si>
  <si>
    <t>MAA-7922</t>
  </si>
  <si>
    <t>AUMAN EST BJ4189</t>
  </si>
  <si>
    <t>ISGE335077810549</t>
  </si>
  <si>
    <t>LVBS6PEB0ST500111</t>
  </si>
  <si>
    <t>ISGE335077810554</t>
  </si>
  <si>
    <t>LVBS6PEB9ST500107</t>
  </si>
  <si>
    <t>ISGE335077810546</t>
  </si>
  <si>
    <t>LVBS6PEB0ST500108</t>
  </si>
  <si>
    <t>ISGE335077810882</t>
  </si>
  <si>
    <t>LVBS6PEB9ST500110</t>
  </si>
  <si>
    <t>LZGJD4R12RX001157</t>
  </si>
  <si>
    <t>LZGJD4R15SX001157</t>
  </si>
  <si>
    <t>LZGJD4R15SX001100</t>
  </si>
  <si>
    <t>LZGJD4R13SX001156</t>
  </si>
  <si>
    <t>LZGJD4R17SX001158</t>
  </si>
  <si>
    <t>LFSA #1</t>
  </si>
  <si>
    <t>LFSA #2</t>
  </si>
  <si>
    <t>LFSA #3</t>
  </si>
  <si>
    <t>LFSA #4</t>
  </si>
  <si>
    <t>LFSA #5</t>
  </si>
  <si>
    <t>XAI-1125</t>
  </si>
  <si>
    <t>CRE-13-045705</t>
  </si>
  <si>
    <t>CRE-13-045702</t>
  </si>
  <si>
    <t>LZ5R4CD38BB999994</t>
  </si>
  <si>
    <t>ISM380E2035199291</t>
  </si>
  <si>
    <t>HN4250G44C2M</t>
  </si>
  <si>
    <t>CRE-13-045706</t>
  </si>
  <si>
    <t>CRE-13-046046</t>
  </si>
  <si>
    <t>CRE-13-060075</t>
  </si>
  <si>
    <t>CRE-13-106647</t>
  </si>
  <si>
    <t>CRE-13-043656</t>
  </si>
  <si>
    <t>CRE-13-043657</t>
  </si>
  <si>
    <t>CRE-13-090711</t>
  </si>
  <si>
    <t>CRE-13-102034</t>
  </si>
  <si>
    <t>CRE-13-062198</t>
  </si>
  <si>
    <t>CRE-13-062156</t>
  </si>
  <si>
    <t>CRE-13-062197</t>
  </si>
  <si>
    <t>CRE-13-062239</t>
  </si>
  <si>
    <t>CRE-13-034761</t>
  </si>
  <si>
    <t>CRE-13-062199</t>
  </si>
  <si>
    <t>CRE-13-034754</t>
  </si>
  <si>
    <t>CRE-13-086478</t>
  </si>
  <si>
    <t>CRE-13-062238</t>
  </si>
  <si>
    <t>CRE-13-086476</t>
  </si>
  <si>
    <t>CRE-13-043633</t>
  </si>
  <si>
    <t>CRE-13-086479</t>
  </si>
  <si>
    <t>CRE-13-059954</t>
  </si>
  <si>
    <t>CRE-13-060009</t>
  </si>
  <si>
    <t>CRE-13-059955</t>
  </si>
  <si>
    <t>CRE-13-060010</t>
  </si>
  <si>
    <t>CRE-13-062148</t>
  </si>
  <si>
    <t>CRE-13-038243</t>
  </si>
  <si>
    <t>CRE-13-048939</t>
  </si>
  <si>
    <t>CRE-13-038245</t>
  </si>
  <si>
    <t>CRE-13-034757</t>
  </si>
  <si>
    <t>CRE-13-034759</t>
  </si>
  <si>
    <t>CRE-13-034767</t>
  </si>
  <si>
    <t>CRE-13-034751</t>
  </si>
  <si>
    <t>CRE-13-106695</t>
  </si>
  <si>
    <t>CRE-13-106696</t>
  </si>
  <si>
    <t>CRE-13-106697</t>
  </si>
  <si>
    <t>CRE-13-106698</t>
  </si>
  <si>
    <t>CRE-13-038002</t>
  </si>
  <si>
    <t>CRE-13-038246</t>
  </si>
  <si>
    <t>CRE-13-045704</t>
  </si>
  <si>
    <t>CR-1436</t>
  </si>
  <si>
    <t>CRE-13-106649</t>
  </si>
  <si>
    <t>CRE-13-045699</t>
  </si>
  <si>
    <t>CRE-13-046048</t>
  </si>
  <si>
    <t>CRE-13-060076</t>
  </si>
  <si>
    <t>CRE-13-062196</t>
  </si>
  <si>
    <t>CRE-13-062157</t>
  </si>
  <si>
    <t>CRE-13-086477</t>
  </si>
  <si>
    <t>CRE-13-106734</t>
  </si>
  <si>
    <t>CRE-13-106730</t>
  </si>
  <si>
    <t>CRE-13-106732</t>
  </si>
  <si>
    <t>CRE-13-106733</t>
  </si>
  <si>
    <t>CRE-13-106731</t>
  </si>
  <si>
    <t>CRE-13-106735</t>
  </si>
  <si>
    <t>CRE-13-102036</t>
  </si>
  <si>
    <t>CRE-13-081747</t>
  </si>
  <si>
    <t>MAA-7944</t>
  </si>
  <si>
    <t>INTERNATIONAL</t>
  </si>
  <si>
    <t>HV A/C 10.80 2P 6X4 TM DIESEL</t>
  </si>
  <si>
    <t>3HSFWAHT9TN631541</t>
  </si>
  <si>
    <t>MAA-7945</t>
  </si>
  <si>
    <t>3HSFWAHT7TN631540</t>
  </si>
  <si>
    <t>MAA-7946</t>
  </si>
  <si>
    <t>3HSFWAHT8TN631613</t>
  </si>
  <si>
    <t>MAA-7947</t>
  </si>
  <si>
    <t>3HSFWAHT2TN631316</t>
  </si>
  <si>
    <t>CRE-13-104273</t>
  </si>
  <si>
    <t>CARAVANA #4</t>
  </si>
  <si>
    <t>CRE-13-106741</t>
  </si>
  <si>
    <t>52 POSICIONES. ESTRUCTURA DE HIERRO NEGRO, EQUIPADO CON 3 EJES Y SISTEMAS DE SUSPENCIÓN INDEPENDIENTE  CON PORTA LLANTA DE EMERGENCIA Y SISTEMA DE LUMINARIAS POSTERIORES. CORTINAS DE LONA IMPRESA. 13,20m x 4,10m x 2,50m.</t>
  </si>
  <si>
    <t>BAÑERA (#5). ESTRUCTURA METALICA DE ALUMINIO NAVAL CON CHASIS COMPACTO DE ESTRUCTURA DE HIERRO NEGRO, EQUIPADO CON 3 EJES Y SISTEMAS DE SUSPENCIÓN INDEPENDIENTE  CON PORTA LLANTA DE EMERGENCIA Y SISTEMA DE LUMINARIAS POSTERIORES. 13,20m x 4,10m x 2,50m.</t>
  </si>
  <si>
    <t>BAÑERA (#6). ESTRUCTURA METALICA DE ALUMINIO NAVAL CON CHASIS COMPACTO DE ESTRUCTURA DE HIERRO NEGRO, EQUIPADO CON 3 EJES Y SISTEMAS DE SUSPENCIÓN INDEPENDIENTE  CON PORTA LLANTA DE EMERGENCIA Y SISTEMA DE LUMINARIAS POSTERIORES. 13,20m x 4,10m x 2,50m.</t>
  </si>
  <si>
    <t>CRE-13-027689</t>
  </si>
  <si>
    <t>CRE-13-017948</t>
  </si>
  <si>
    <t>67A</t>
  </si>
  <si>
    <t>67B</t>
  </si>
  <si>
    <t>68A</t>
  </si>
  <si>
    <t>68B</t>
  </si>
  <si>
    <t>69A</t>
  </si>
  <si>
    <t>69B</t>
  </si>
  <si>
    <t>CRE-13-086380</t>
  </si>
  <si>
    <t>TANQUERO TERMICO LFB #1 DE ACERO INOXIDABLE</t>
  </si>
  <si>
    <t>TANQUERO LFB #2 DE ACERO INOXIDABLE</t>
  </si>
  <si>
    <t>TANQUERO TERMICO LFB #3 DE ACERO INOXIDABLE</t>
  </si>
  <si>
    <t>CRE-13-086379</t>
  </si>
  <si>
    <t>CRE-13-086381</t>
  </si>
  <si>
    <t>48A</t>
  </si>
  <si>
    <t>48B</t>
  </si>
  <si>
    <t>CRE-13-024489</t>
  </si>
  <si>
    <t>70A</t>
  </si>
  <si>
    <t>70B</t>
  </si>
  <si>
    <t>71A</t>
  </si>
  <si>
    <t>71B</t>
  </si>
  <si>
    <t>76A</t>
  </si>
  <si>
    <t>76B</t>
  </si>
  <si>
    <t>77A</t>
  </si>
  <si>
    <t>77B</t>
  </si>
  <si>
    <t>78A</t>
  </si>
  <si>
    <t>78B</t>
  </si>
  <si>
    <t>HN3250P34C6M3 A/C 8.3 2P 6X4 TM</t>
  </si>
  <si>
    <t>CAJON DE VOLQUETE DE 10 M3</t>
  </si>
  <si>
    <t>CRE-13-024574</t>
  </si>
  <si>
    <t>WHITE</t>
  </si>
  <si>
    <t>5VQCPGH042224</t>
  </si>
  <si>
    <t>24A</t>
  </si>
  <si>
    <t>24B</t>
  </si>
  <si>
    <t>26A</t>
  </si>
  <si>
    <t>26B</t>
  </si>
  <si>
    <t>28A</t>
  </si>
  <si>
    <t>28B</t>
  </si>
  <si>
    <t>30A</t>
  </si>
  <si>
    <t>30B</t>
  </si>
  <si>
    <t>32A</t>
  </si>
  <si>
    <t>32B</t>
  </si>
  <si>
    <t>34A</t>
  </si>
  <si>
    <t>34B</t>
  </si>
  <si>
    <t>36A</t>
  </si>
  <si>
    <t>36B</t>
  </si>
  <si>
    <t>TOTAL SUMAS ASEGURADAS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</si>
</sst>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€-2]* #,##0.00_);_([$€-2]* \(#,##0.00\);_([$€-2]* &quot;-&quot;??_)"/>
    <numFmt numFmtId="165" formatCode="&quot;$&quot;\ #,##0.00"/>
    <numFmt numFmtId="166" formatCode="_ [$$-300A]* #,##0.00_ ;_ [$$-300A]* \-#,##0.00_ ;_ [$$-300A]* &quot;-&quot;??_ ;_ @_ 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b/>
      <sz val="9"/>
      <color theme="4" tint="-0.249977111117893"/>
      <name val="Arial"/>
      <family val="2"/>
    </font>
    <font>
      <b/>
      <sz val="8"/>
      <color rgb="FFFF0000"/>
      <name val="Arial"/>
      <family val="2"/>
    </font>
    <font>
      <sz val="8"/>
      <name val="Arial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164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3" applyNumberFormat="0" applyFill="0" applyAlignment="0" applyProtection="0"/>
    <xf numFmtId="0" fontId="15" fillId="22" borderId="0" applyNumberFormat="0" applyBorder="0" applyAlignment="0" applyProtection="0"/>
    <xf numFmtId="0" fontId="3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" fillId="0" borderId="0"/>
    <xf numFmtId="0" fontId="1" fillId="0" borderId="0"/>
  </cellStyleXfs>
  <cellXfs count="15">
    <xf numFmtId="0" fontId="0" fillId="0" borderId="0" xfId="0"/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 wrapText="1"/>
    </xf>
    <xf numFmtId="0" fontId="21" fillId="24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165" fontId="20" fillId="0" borderId="11" xfId="0" applyNumberFormat="1" applyFont="1" applyBorder="1" applyAlignment="1">
      <alignment horizontal="center" vertical="center" wrapText="1"/>
    </xf>
    <xf numFmtId="0" fontId="21" fillId="24" borderId="11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center" vertical="center" wrapText="1"/>
    </xf>
    <xf numFmtId="165" fontId="20" fillId="25" borderId="11" xfId="0" applyNumberFormat="1" applyFont="1" applyFill="1" applyBorder="1" applyAlignment="1">
      <alignment horizontal="center" vertical="center" wrapText="1"/>
    </xf>
    <xf numFmtId="0" fontId="20" fillId="25" borderId="0" xfId="0" applyFont="1" applyFill="1" applyAlignment="1">
      <alignment horizontal="center" vertical="center" wrapText="1"/>
    </xf>
    <xf numFmtId="0" fontId="20" fillId="26" borderId="11" xfId="0" applyFont="1" applyFill="1" applyBorder="1" applyAlignment="1">
      <alignment horizontal="center" vertical="center" wrapText="1"/>
    </xf>
    <xf numFmtId="165" fontId="20" fillId="26" borderId="11" xfId="0" applyNumberFormat="1" applyFont="1" applyFill="1" applyBorder="1" applyAlignment="1">
      <alignment horizontal="center" vertical="center" wrapText="1"/>
    </xf>
    <xf numFmtId="166" fontId="21" fillId="24" borderId="11" xfId="0" applyNumberFormat="1" applyFont="1" applyFill="1" applyBorder="1" applyAlignment="1">
      <alignment horizontal="center" vertical="center" wrapText="1"/>
    </xf>
  </cellXfs>
  <cellStyles count="45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40% - Accent1" xfId="7" xr:uid="{00000000-0005-0000-0000-000006000000}"/>
    <cellStyle name="40% - Accent2" xfId="8" xr:uid="{00000000-0005-0000-0000-000007000000}"/>
    <cellStyle name="40% - Accent3" xfId="9" xr:uid="{00000000-0005-0000-0000-000008000000}"/>
    <cellStyle name="40% - Accent4" xfId="10" xr:uid="{00000000-0005-0000-0000-000009000000}"/>
    <cellStyle name="40% - Accent5" xfId="11" xr:uid="{00000000-0005-0000-0000-00000A000000}"/>
    <cellStyle name="40% - Accent6" xfId="12" xr:uid="{00000000-0005-0000-0000-00000B000000}"/>
    <cellStyle name="60% - Accent1" xfId="13" xr:uid="{00000000-0005-0000-0000-00000C000000}"/>
    <cellStyle name="60% - Accent2" xfId="14" xr:uid="{00000000-0005-0000-0000-00000D000000}"/>
    <cellStyle name="60% - Accent3" xfId="15" xr:uid="{00000000-0005-0000-0000-00000E000000}"/>
    <cellStyle name="60% - Accent4" xfId="16" xr:uid="{00000000-0005-0000-0000-00000F000000}"/>
    <cellStyle name="60% - Accent5" xfId="17" xr:uid="{00000000-0005-0000-0000-000010000000}"/>
    <cellStyle name="60% - Accent6" xfId="18" xr:uid="{00000000-0005-0000-0000-000011000000}"/>
    <cellStyle name="Accent1" xfId="19" xr:uid="{00000000-0005-0000-0000-000012000000}"/>
    <cellStyle name="Accent2" xfId="20" xr:uid="{00000000-0005-0000-0000-000013000000}"/>
    <cellStyle name="Accent3" xfId="21" xr:uid="{00000000-0005-0000-0000-000014000000}"/>
    <cellStyle name="Accent4" xfId="22" xr:uid="{00000000-0005-0000-0000-000015000000}"/>
    <cellStyle name="Accent5" xfId="23" xr:uid="{00000000-0005-0000-0000-000016000000}"/>
    <cellStyle name="Accent6" xfId="24" xr:uid="{00000000-0005-0000-0000-000017000000}"/>
    <cellStyle name="Bad" xfId="25" xr:uid="{00000000-0005-0000-0000-000018000000}"/>
    <cellStyle name="Calculation" xfId="26" xr:uid="{00000000-0005-0000-0000-000019000000}"/>
    <cellStyle name="Check Cell" xfId="27" xr:uid="{00000000-0005-0000-0000-00001A000000}"/>
    <cellStyle name="Euro" xfId="28" xr:uid="{00000000-0005-0000-0000-00001B000000}"/>
    <cellStyle name="Explanatory Text" xfId="29" xr:uid="{00000000-0005-0000-0000-00001C000000}"/>
    <cellStyle name="Good" xfId="30" xr:uid="{00000000-0005-0000-0000-00001D000000}"/>
    <cellStyle name="Heading 1" xfId="31" xr:uid="{00000000-0005-0000-0000-00001E000000}"/>
    <cellStyle name="Heading 2" xfId="32" xr:uid="{00000000-0005-0000-0000-00001F000000}"/>
    <cellStyle name="Heading 3" xfId="33" xr:uid="{00000000-0005-0000-0000-000020000000}"/>
    <cellStyle name="Heading 4" xfId="34" xr:uid="{00000000-0005-0000-0000-000021000000}"/>
    <cellStyle name="Input" xfId="35" xr:uid="{00000000-0005-0000-0000-000022000000}"/>
    <cellStyle name="Linked Cell" xfId="36" xr:uid="{00000000-0005-0000-0000-000023000000}"/>
    <cellStyle name="Neutral" xfId="37" builtinId="28" customBuiltin="1"/>
    <cellStyle name="Normal" xfId="0" builtinId="0"/>
    <cellStyle name="Normal 2" xfId="43" xr:uid="{00000000-0005-0000-0000-000026000000}"/>
    <cellStyle name="Normal 3" xfId="44" xr:uid="{00000000-0005-0000-0000-000027000000}"/>
    <cellStyle name="Note" xfId="38" xr:uid="{00000000-0005-0000-0000-000028000000}"/>
    <cellStyle name="Output" xfId="39" xr:uid="{00000000-0005-0000-0000-000029000000}"/>
    <cellStyle name="Title" xfId="40" xr:uid="{00000000-0005-0000-0000-00002A000000}"/>
    <cellStyle name="Total" xfId="41" builtinId="25" customBuiltin="1"/>
    <cellStyle name="Warning Text" xfId="42" xr:uid="{00000000-0005-0000-0000-00002C000000}"/>
  </cellStyles>
  <dxfs count="0"/>
  <tableStyles count="0" defaultTableStyle="TableStyleMedium9" defaultPivotStyle="PivotStyleLight16"/>
  <colors>
    <mruColors>
      <color rgb="FF4D24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"/>
  <sheetViews>
    <sheetView tabSelected="1" zoomScale="80" zoomScaleNormal="80" workbookViewId="0">
      <pane ySplit="3" topLeftCell="A4" activePane="bottomLeft" state="frozen"/>
      <selection pane="bottomLeft" activeCell="N99" sqref="N99"/>
    </sheetView>
  </sheetViews>
  <sheetFormatPr baseColWidth="10" defaultColWidth="11.453125" defaultRowHeight="10" x14ac:dyDescent="0.25"/>
  <cols>
    <col min="1" max="1" width="5.26953125" style="1" customWidth="1"/>
    <col min="2" max="2" width="8.453125" style="1" bestFit="1" customWidth="1"/>
    <col min="3" max="3" width="12" style="1" customWidth="1"/>
    <col min="4" max="4" width="14.90625" style="1" customWidth="1"/>
    <col min="5" max="5" width="28" style="1" customWidth="1"/>
    <col min="6" max="6" width="14.1796875" style="1" customWidth="1"/>
    <col min="7" max="7" width="13.36328125" style="1" customWidth="1"/>
    <col min="8" max="8" width="5.1796875" style="1" customWidth="1"/>
    <col min="9" max="9" width="16.81640625" style="1" customWidth="1"/>
    <col min="10" max="10" width="18.453125" style="1" customWidth="1"/>
    <col min="11" max="11" width="10.54296875" style="1" customWidth="1"/>
    <col min="12" max="12" width="9.1796875" style="1" customWidth="1"/>
    <col min="13" max="13" width="36.81640625" style="1" customWidth="1"/>
    <col min="14" max="14" width="13.54296875" style="1" customWidth="1"/>
    <col min="15" max="16384" width="11.453125" style="1"/>
  </cols>
  <sheetData>
    <row r="1" spans="1:14" s="2" customFormat="1" x14ac:dyDescent="0.25">
      <c r="A1" s="3" t="s">
        <v>48</v>
      </c>
    </row>
    <row r="3" spans="1:14" ht="34.5" x14ac:dyDescent="0.25">
      <c r="A3" s="5" t="s">
        <v>4</v>
      </c>
      <c r="B3" s="5" t="s">
        <v>0</v>
      </c>
      <c r="C3" s="5" t="s">
        <v>141</v>
      </c>
      <c r="D3" s="5" t="s">
        <v>5</v>
      </c>
      <c r="E3" s="5" t="s">
        <v>6</v>
      </c>
      <c r="F3" s="5" t="s">
        <v>7</v>
      </c>
      <c r="G3" s="5" t="s">
        <v>1</v>
      </c>
      <c r="H3" s="5" t="s">
        <v>8</v>
      </c>
      <c r="I3" s="5" t="s">
        <v>9</v>
      </c>
      <c r="J3" s="5" t="s">
        <v>10</v>
      </c>
      <c r="K3" s="5" t="s">
        <v>121</v>
      </c>
      <c r="L3" s="5" t="s">
        <v>11</v>
      </c>
      <c r="M3" s="5" t="s">
        <v>12</v>
      </c>
      <c r="N3" s="5" t="s">
        <v>13</v>
      </c>
    </row>
    <row r="4" spans="1:14" x14ac:dyDescent="0.25">
      <c r="A4" s="9">
        <v>1</v>
      </c>
      <c r="B4" s="9" t="s">
        <v>61</v>
      </c>
      <c r="C4" s="9" t="s">
        <v>260</v>
      </c>
      <c r="D4" s="9" t="s">
        <v>14</v>
      </c>
      <c r="E4" s="9" t="s">
        <v>58</v>
      </c>
      <c r="F4" s="9" t="s">
        <v>18</v>
      </c>
      <c r="G4" s="9" t="s">
        <v>20</v>
      </c>
      <c r="H4" s="9">
        <v>2021</v>
      </c>
      <c r="I4" s="9" t="s">
        <v>59</v>
      </c>
      <c r="J4" s="9" t="s">
        <v>60</v>
      </c>
      <c r="K4" s="10">
        <v>73000</v>
      </c>
      <c r="L4" s="10">
        <v>0</v>
      </c>
      <c r="M4" s="9" t="s">
        <v>112</v>
      </c>
      <c r="N4" s="10">
        <f>K4+L4</f>
        <v>73000</v>
      </c>
    </row>
    <row r="5" spans="1:14" ht="70" x14ac:dyDescent="0.25">
      <c r="A5" s="6">
        <v>2</v>
      </c>
      <c r="B5" s="6" t="s">
        <v>134</v>
      </c>
      <c r="C5" s="6" t="s">
        <v>225</v>
      </c>
      <c r="D5" s="6" t="s">
        <v>109</v>
      </c>
      <c r="E5" s="6" t="s">
        <v>114</v>
      </c>
      <c r="F5" s="6" t="s">
        <v>110</v>
      </c>
      <c r="G5" s="6" t="s">
        <v>115</v>
      </c>
      <c r="H5" s="6">
        <v>2020</v>
      </c>
      <c r="I5" s="6" t="s">
        <v>111</v>
      </c>
      <c r="J5" s="6" t="s">
        <v>135</v>
      </c>
      <c r="K5" s="7">
        <v>0</v>
      </c>
      <c r="L5" s="7">
        <v>35000</v>
      </c>
      <c r="M5" s="6" t="s">
        <v>161</v>
      </c>
      <c r="N5" s="7">
        <f t="shared" ref="N5" si="0">K5+L5</f>
        <v>35000</v>
      </c>
    </row>
    <row r="6" spans="1:14" x14ac:dyDescent="0.25">
      <c r="A6" s="9">
        <v>3</v>
      </c>
      <c r="B6" s="9" t="s">
        <v>66</v>
      </c>
      <c r="C6" s="9" t="s">
        <v>226</v>
      </c>
      <c r="D6" s="9" t="s">
        <v>14</v>
      </c>
      <c r="E6" s="9" t="s">
        <v>58</v>
      </c>
      <c r="F6" s="9" t="s">
        <v>18</v>
      </c>
      <c r="G6" s="9" t="s">
        <v>19</v>
      </c>
      <c r="H6" s="9">
        <v>2021</v>
      </c>
      <c r="I6" s="9" t="s">
        <v>62</v>
      </c>
      <c r="J6" s="9" t="s">
        <v>65</v>
      </c>
      <c r="K6" s="10">
        <v>73000</v>
      </c>
      <c r="L6" s="10">
        <v>0</v>
      </c>
      <c r="M6" s="9" t="s">
        <v>112</v>
      </c>
      <c r="N6" s="10">
        <f>K6+L6</f>
        <v>73000</v>
      </c>
    </row>
    <row r="7" spans="1:14" ht="70" x14ac:dyDescent="0.25">
      <c r="A7" s="6">
        <v>4</v>
      </c>
      <c r="B7" s="6" t="s">
        <v>3</v>
      </c>
      <c r="C7" s="6" t="s">
        <v>261</v>
      </c>
      <c r="D7" s="6" t="s">
        <v>109</v>
      </c>
      <c r="E7" s="6" t="s">
        <v>114</v>
      </c>
      <c r="F7" s="6" t="s">
        <v>110</v>
      </c>
      <c r="G7" s="6" t="s">
        <v>115</v>
      </c>
      <c r="H7" s="6">
        <v>2020</v>
      </c>
      <c r="I7" s="6" t="s">
        <v>111</v>
      </c>
      <c r="J7" s="6" t="s">
        <v>111</v>
      </c>
      <c r="K7" s="7">
        <v>0</v>
      </c>
      <c r="L7" s="7">
        <v>35000</v>
      </c>
      <c r="M7" s="6" t="s">
        <v>162</v>
      </c>
      <c r="N7" s="7">
        <f>K7+L7</f>
        <v>35000</v>
      </c>
    </row>
    <row r="8" spans="1:14" x14ac:dyDescent="0.25">
      <c r="A8" s="9">
        <v>5</v>
      </c>
      <c r="B8" s="9" t="s">
        <v>67</v>
      </c>
      <c r="C8" s="9" t="s">
        <v>224</v>
      </c>
      <c r="D8" s="9" t="s">
        <v>14</v>
      </c>
      <c r="E8" s="9" t="s">
        <v>58</v>
      </c>
      <c r="F8" s="9" t="s">
        <v>18</v>
      </c>
      <c r="G8" s="9" t="s">
        <v>19</v>
      </c>
      <c r="H8" s="9">
        <v>2021</v>
      </c>
      <c r="I8" s="9" t="s">
        <v>63</v>
      </c>
      <c r="J8" s="9" t="s">
        <v>70</v>
      </c>
      <c r="K8" s="10">
        <v>73000</v>
      </c>
      <c r="L8" s="10">
        <v>0</v>
      </c>
      <c r="M8" s="9" t="s">
        <v>112</v>
      </c>
      <c r="N8" s="10">
        <f>K8+L8</f>
        <v>73000</v>
      </c>
    </row>
    <row r="9" spans="1:14" ht="70" x14ac:dyDescent="0.25">
      <c r="A9" s="6">
        <v>6</v>
      </c>
      <c r="B9" s="6" t="s">
        <v>130</v>
      </c>
      <c r="C9" s="6" t="s">
        <v>228</v>
      </c>
      <c r="D9" s="6" t="s">
        <v>36</v>
      </c>
      <c r="E9" s="6" t="s">
        <v>131</v>
      </c>
      <c r="F9" s="6" t="s">
        <v>110</v>
      </c>
      <c r="G9" s="6" t="s">
        <v>115</v>
      </c>
      <c r="H9" s="6">
        <v>2016</v>
      </c>
      <c r="I9" s="6" t="s">
        <v>111</v>
      </c>
      <c r="J9" s="6" t="s">
        <v>163</v>
      </c>
      <c r="K9" s="7">
        <v>0</v>
      </c>
      <c r="L9" s="7">
        <v>35000</v>
      </c>
      <c r="M9" s="6" t="s">
        <v>164</v>
      </c>
      <c r="N9" s="7">
        <f t="shared" ref="N9" si="1">K9+L9</f>
        <v>35000</v>
      </c>
    </row>
    <row r="10" spans="1:14" x14ac:dyDescent="0.25">
      <c r="A10" s="9">
        <v>7</v>
      </c>
      <c r="B10" s="9" t="s">
        <v>68</v>
      </c>
      <c r="C10" s="9" t="s">
        <v>229</v>
      </c>
      <c r="D10" s="9" t="s">
        <v>14</v>
      </c>
      <c r="E10" s="9" t="s">
        <v>58</v>
      </c>
      <c r="F10" s="9" t="s">
        <v>18</v>
      </c>
      <c r="G10" s="9" t="s">
        <v>33</v>
      </c>
      <c r="H10" s="9">
        <v>2021</v>
      </c>
      <c r="I10" s="9" t="s">
        <v>64</v>
      </c>
      <c r="J10" s="9" t="s">
        <v>69</v>
      </c>
      <c r="K10" s="10">
        <v>73000</v>
      </c>
      <c r="L10" s="10">
        <v>0</v>
      </c>
      <c r="M10" s="9" t="s">
        <v>112</v>
      </c>
      <c r="N10" s="10">
        <f>K10+L10</f>
        <v>73000</v>
      </c>
    </row>
    <row r="11" spans="1:14" ht="70" x14ac:dyDescent="0.25">
      <c r="A11" s="6">
        <v>8</v>
      </c>
      <c r="B11" s="6" t="s">
        <v>125</v>
      </c>
      <c r="C11" s="6" t="s">
        <v>230</v>
      </c>
      <c r="D11" s="6" t="s">
        <v>36</v>
      </c>
      <c r="E11" s="6" t="s">
        <v>114</v>
      </c>
      <c r="F11" s="6" t="s">
        <v>110</v>
      </c>
      <c r="G11" s="6" t="s">
        <v>115</v>
      </c>
      <c r="H11" s="6">
        <v>2013</v>
      </c>
      <c r="I11" s="6" t="s">
        <v>111</v>
      </c>
      <c r="J11" s="6" t="s">
        <v>126</v>
      </c>
      <c r="K11" s="7">
        <v>0</v>
      </c>
      <c r="L11" s="7">
        <v>35000</v>
      </c>
      <c r="M11" s="6" t="s">
        <v>165</v>
      </c>
      <c r="N11" s="7">
        <f t="shared" ref="N11" si="2">K11+L11</f>
        <v>35000</v>
      </c>
    </row>
    <row r="12" spans="1:14" x14ac:dyDescent="0.25">
      <c r="A12" s="9">
        <v>9</v>
      </c>
      <c r="B12" s="9" t="s">
        <v>84</v>
      </c>
      <c r="C12" s="9" t="s">
        <v>231</v>
      </c>
      <c r="D12" s="9" t="s">
        <v>14</v>
      </c>
      <c r="E12" s="9" t="s">
        <v>58</v>
      </c>
      <c r="F12" s="9" t="s">
        <v>35</v>
      </c>
      <c r="G12" s="9" t="s">
        <v>19</v>
      </c>
      <c r="H12" s="9">
        <v>2023</v>
      </c>
      <c r="I12" s="9" t="s">
        <v>86</v>
      </c>
      <c r="J12" s="9" t="s">
        <v>85</v>
      </c>
      <c r="K12" s="10">
        <v>79000</v>
      </c>
      <c r="L12" s="10">
        <v>0</v>
      </c>
      <c r="M12" s="9" t="s">
        <v>112</v>
      </c>
      <c r="N12" s="10">
        <f>K12+L12</f>
        <v>79000</v>
      </c>
    </row>
    <row r="13" spans="1:14" ht="70" x14ac:dyDescent="0.25">
      <c r="A13" s="6">
        <v>10</v>
      </c>
      <c r="B13" s="6" t="s">
        <v>3</v>
      </c>
      <c r="C13" s="6" t="s">
        <v>232</v>
      </c>
      <c r="D13" s="6" t="s">
        <v>36</v>
      </c>
      <c r="E13" s="6" t="s">
        <v>114</v>
      </c>
      <c r="F13" s="6" t="s">
        <v>110</v>
      </c>
      <c r="G13" s="6" t="s">
        <v>115</v>
      </c>
      <c r="H13" s="6">
        <v>2020</v>
      </c>
      <c r="I13" s="6" t="s">
        <v>111</v>
      </c>
      <c r="J13" s="6" t="s">
        <v>111</v>
      </c>
      <c r="K13" s="7">
        <v>0</v>
      </c>
      <c r="L13" s="7">
        <v>35000</v>
      </c>
      <c r="M13" s="6" t="s">
        <v>168</v>
      </c>
      <c r="N13" s="7">
        <f t="shared" ref="N13" si="3">K13+L13</f>
        <v>35000</v>
      </c>
    </row>
    <row r="14" spans="1:14" x14ac:dyDescent="0.25">
      <c r="A14" s="9">
        <v>11</v>
      </c>
      <c r="B14" s="9" t="s">
        <v>90</v>
      </c>
      <c r="C14" s="9" t="s">
        <v>233</v>
      </c>
      <c r="D14" s="9" t="s">
        <v>14</v>
      </c>
      <c r="E14" s="9" t="s">
        <v>58</v>
      </c>
      <c r="F14" s="9" t="s">
        <v>35</v>
      </c>
      <c r="G14" s="9" t="s">
        <v>19</v>
      </c>
      <c r="H14" s="9">
        <v>2023</v>
      </c>
      <c r="I14" s="9" t="s">
        <v>92</v>
      </c>
      <c r="J14" s="9" t="s">
        <v>91</v>
      </c>
      <c r="K14" s="10">
        <v>79000</v>
      </c>
      <c r="L14" s="10">
        <v>0</v>
      </c>
      <c r="M14" s="9" t="s">
        <v>112</v>
      </c>
      <c r="N14" s="10">
        <f>K14+L14</f>
        <v>79000</v>
      </c>
    </row>
    <row r="15" spans="1:14" ht="70" x14ac:dyDescent="0.25">
      <c r="A15" s="6">
        <v>12</v>
      </c>
      <c r="B15" s="6" t="s">
        <v>3</v>
      </c>
      <c r="C15" s="6" t="s">
        <v>234</v>
      </c>
      <c r="D15" s="6" t="s">
        <v>36</v>
      </c>
      <c r="E15" s="6" t="s">
        <v>114</v>
      </c>
      <c r="F15" s="6" t="s">
        <v>110</v>
      </c>
      <c r="G15" s="6" t="s">
        <v>115</v>
      </c>
      <c r="H15" s="6">
        <v>2018</v>
      </c>
      <c r="I15" s="6" t="s">
        <v>111</v>
      </c>
      <c r="J15" s="6" t="s">
        <v>111</v>
      </c>
      <c r="K15" s="7">
        <v>0</v>
      </c>
      <c r="L15" s="7">
        <v>35000</v>
      </c>
      <c r="M15" s="6" t="s">
        <v>167</v>
      </c>
      <c r="N15" s="7">
        <f>K15+L15</f>
        <v>35000</v>
      </c>
    </row>
    <row r="16" spans="1:14" x14ac:dyDescent="0.25">
      <c r="A16" s="9">
        <v>13</v>
      </c>
      <c r="B16" s="9" t="s">
        <v>93</v>
      </c>
      <c r="C16" s="9" t="s">
        <v>235</v>
      </c>
      <c r="D16" s="9" t="s">
        <v>14</v>
      </c>
      <c r="E16" s="9" t="s">
        <v>58</v>
      </c>
      <c r="F16" s="9" t="s">
        <v>35</v>
      </c>
      <c r="G16" s="9" t="s">
        <v>19</v>
      </c>
      <c r="H16" s="9">
        <v>2023</v>
      </c>
      <c r="I16" s="9" t="s">
        <v>95</v>
      </c>
      <c r="J16" s="9" t="s">
        <v>94</v>
      </c>
      <c r="K16" s="10">
        <v>79000</v>
      </c>
      <c r="L16" s="10">
        <v>0</v>
      </c>
      <c r="M16" s="9" t="s">
        <v>112</v>
      </c>
      <c r="N16" s="10">
        <f>K16+L16</f>
        <v>79000</v>
      </c>
    </row>
    <row r="17" spans="1:14" ht="70" x14ac:dyDescent="0.25">
      <c r="A17" s="6">
        <v>14</v>
      </c>
      <c r="B17" s="6" t="s">
        <v>3</v>
      </c>
      <c r="C17" s="6" t="s">
        <v>227</v>
      </c>
      <c r="D17" s="6" t="s">
        <v>36</v>
      </c>
      <c r="E17" s="6" t="s">
        <v>114</v>
      </c>
      <c r="F17" s="6" t="s">
        <v>110</v>
      </c>
      <c r="G17" s="6" t="s">
        <v>115</v>
      </c>
      <c r="H17" s="6">
        <v>2020</v>
      </c>
      <c r="I17" s="6" t="s">
        <v>111</v>
      </c>
      <c r="J17" s="6" t="s">
        <v>111</v>
      </c>
      <c r="K17" s="7">
        <v>0</v>
      </c>
      <c r="L17" s="7">
        <v>35000</v>
      </c>
      <c r="M17" s="6" t="s">
        <v>166</v>
      </c>
      <c r="N17" s="7">
        <f>K17+L17</f>
        <v>35000</v>
      </c>
    </row>
    <row r="18" spans="1:14" x14ac:dyDescent="0.25">
      <c r="A18" s="9">
        <v>15</v>
      </c>
      <c r="B18" s="9" t="s">
        <v>49</v>
      </c>
      <c r="C18" s="9" t="s">
        <v>236</v>
      </c>
      <c r="D18" s="9" t="s">
        <v>27</v>
      </c>
      <c r="E18" s="9" t="s">
        <v>45</v>
      </c>
      <c r="F18" s="9" t="s">
        <v>35</v>
      </c>
      <c r="G18" s="9" t="s">
        <v>19</v>
      </c>
      <c r="H18" s="9">
        <v>2020</v>
      </c>
      <c r="I18" s="9" t="s">
        <v>52</v>
      </c>
      <c r="J18" s="9" t="s">
        <v>53</v>
      </c>
      <c r="K18" s="10">
        <v>66900</v>
      </c>
      <c r="L18" s="10">
        <v>0</v>
      </c>
      <c r="M18" s="9" t="s">
        <v>112</v>
      </c>
      <c r="N18" s="10">
        <f>K18+L18</f>
        <v>66900</v>
      </c>
    </row>
    <row r="19" spans="1:14" ht="70" x14ac:dyDescent="0.25">
      <c r="A19" s="6">
        <v>16</v>
      </c>
      <c r="B19" s="6" t="s">
        <v>139</v>
      </c>
      <c r="C19" s="6" t="s">
        <v>237</v>
      </c>
      <c r="D19" s="6" t="s">
        <v>109</v>
      </c>
      <c r="E19" s="6" t="s">
        <v>114</v>
      </c>
      <c r="F19" s="6" t="s">
        <v>110</v>
      </c>
      <c r="G19" s="6" t="s">
        <v>115</v>
      </c>
      <c r="H19" s="6">
        <v>2020</v>
      </c>
      <c r="I19" s="6" t="s">
        <v>111</v>
      </c>
      <c r="J19" s="6" t="s">
        <v>140</v>
      </c>
      <c r="K19" s="7">
        <v>0</v>
      </c>
      <c r="L19" s="7">
        <v>35000</v>
      </c>
      <c r="M19" s="6" t="s">
        <v>159</v>
      </c>
      <c r="N19" s="7">
        <f t="shared" ref="N19" si="4">K19+L19</f>
        <v>35000</v>
      </c>
    </row>
    <row r="20" spans="1:14" x14ac:dyDescent="0.25">
      <c r="A20" s="9">
        <v>17</v>
      </c>
      <c r="B20" s="9" t="s">
        <v>50</v>
      </c>
      <c r="C20" s="9" t="s">
        <v>238</v>
      </c>
      <c r="D20" s="9" t="s">
        <v>27</v>
      </c>
      <c r="E20" s="9" t="s">
        <v>45</v>
      </c>
      <c r="F20" s="9" t="s">
        <v>35</v>
      </c>
      <c r="G20" s="9" t="s">
        <v>34</v>
      </c>
      <c r="H20" s="9">
        <v>2020</v>
      </c>
      <c r="I20" s="9" t="s">
        <v>54</v>
      </c>
      <c r="J20" s="9" t="s">
        <v>55</v>
      </c>
      <c r="K20" s="10">
        <v>66900</v>
      </c>
      <c r="L20" s="10">
        <v>0</v>
      </c>
      <c r="M20" s="9" t="s">
        <v>112</v>
      </c>
      <c r="N20" s="10">
        <f>K20+L20</f>
        <v>66900</v>
      </c>
    </row>
    <row r="21" spans="1:14" ht="70" x14ac:dyDescent="0.25">
      <c r="A21" s="6">
        <v>18</v>
      </c>
      <c r="B21" s="6" t="s">
        <v>116</v>
      </c>
      <c r="C21" s="6" t="s">
        <v>239</v>
      </c>
      <c r="D21" s="6" t="s">
        <v>109</v>
      </c>
      <c r="E21" s="6" t="s">
        <v>114</v>
      </c>
      <c r="F21" s="6" t="s">
        <v>110</v>
      </c>
      <c r="G21" s="6" t="s">
        <v>115</v>
      </c>
      <c r="H21" s="6">
        <v>2020</v>
      </c>
      <c r="I21" s="6" t="s">
        <v>111</v>
      </c>
      <c r="J21" s="6" t="s">
        <v>117</v>
      </c>
      <c r="K21" s="7">
        <v>0</v>
      </c>
      <c r="L21" s="7">
        <v>35000</v>
      </c>
      <c r="M21" s="6" t="s">
        <v>160</v>
      </c>
      <c r="N21" s="7">
        <f>K21+L21</f>
        <v>35000</v>
      </c>
    </row>
    <row r="22" spans="1:14" x14ac:dyDescent="0.25">
      <c r="A22" s="9">
        <v>19</v>
      </c>
      <c r="B22" s="9" t="s">
        <v>51</v>
      </c>
      <c r="C22" s="9" t="s">
        <v>240</v>
      </c>
      <c r="D22" s="9" t="s">
        <v>27</v>
      </c>
      <c r="E22" s="9" t="s">
        <v>45</v>
      </c>
      <c r="F22" s="9" t="s">
        <v>35</v>
      </c>
      <c r="G22" s="9" t="s">
        <v>16</v>
      </c>
      <c r="H22" s="9">
        <v>2020</v>
      </c>
      <c r="I22" s="9" t="s">
        <v>56</v>
      </c>
      <c r="J22" s="9" t="s">
        <v>57</v>
      </c>
      <c r="K22" s="10">
        <v>66900</v>
      </c>
      <c r="L22" s="10">
        <v>0</v>
      </c>
      <c r="M22" s="9" t="s">
        <v>112</v>
      </c>
      <c r="N22" s="10">
        <f>K22+L22</f>
        <v>66900</v>
      </c>
    </row>
    <row r="23" spans="1:14" ht="70" x14ac:dyDescent="0.25">
      <c r="A23" s="6">
        <v>20</v>
      </c>
      <c r="B23" s="6" t="s">
        <v>127</v>
      </c>
      <c r="C23" s="6" t="s">
        <v>241</v>
      </c>
      <c r="D23" s="6" t="s">
        <v>36</v>
      </c>
      <c r="E23" s="6" t="s">
        <v>114</v>
      </c>
      <c r="F23" s="6" t="s">
        <v>110</v>
      </c>
      <c r="G23" s="6" t="s">
        <v>115</v>
      </c>
      <c r="H23" s="6">
        <v>2018</v>
      </c>
      <c r="I23" s="6" t="s">
        <v>111</v>
      </c>
      <c r="J23" s="6" t="s">
        <v>128</v>
      </c>
      <c r="K23" s="7">
        <v>0</v>
      </c>
      <c r="L23" s="7">
        <v>35000</v>
      </c>
      <c r="M23" s="6" t="s">
        <v>156</v>
      </c>
      <c r="N23" s="7">
        <f t="shared" ref="N23" si="5">K23+L23</f>
        <v>35000</v>
      </c>
    </row>
    <row r="24" spans="1:14" x14ac:dyDescent="0.25">
      <c r="A24" s="9">
        <v>21</v>
      </c>
      <c r="B24" s="9" t="s">
        <v>87</v>
      </c>
      <c r="C24" s="9" t="s">
        <v>262</v>
      </c>
      <c r="D24" s="9" t="s">
        <v>14</v>
      </c>
      <c r="E24" s="9" t="s">
        <v>58</v>
      </c>
      <c r="F24" s="9" t="s">
        <v>35</v>
      </c>
      <c r="G24" s="9" t="s">
        <v>19</v>
      </c>
      <c r="H24" s="9">
        <v>2023</v>
      </c>
      <c r="I24" s="9" t="s">
        <v>89</v>
      </c>
      <c r="J24" s="9" t="s">
        <v>88</v>
      </c>
      <c r="K24" s="10">
        <v>79000</v>
      </c>
      <c r="L24" s="10">
        <v>0</v>
      </c>
      <c r="M24" s="9" t="s">
        <v>112</v>
      </c>
      <c r="N24" s="10">
        <f t="shared" ref="N24:N29" si="6">K24+L24</f>
        <v>79000</v>
      </c>
    </row>
    <row r="25" spans="1:14" ht="80" customHeight="1" x14ac:dyDescent="0.25">
      <c r="A25" s="6">
        <v>22</v>
      </c>
      <c r="B25" s="6" t="s">
        <v>132</v>
      </c>
      <c r="C25" s="6" t="s">
        <v>245</v>
      </c>
      <c r="D25" s="6" t="s">
        <v>36</v>
      </c>
      <c r="E25" s="6" t="s">
        <v>131</v>
      </c>
      <c r="F25" s="6" t="s">
        <v>110</v>
      </c>
      <c r="G25" s="6" t="s">
        <v>115</v>
      </c>
      <c r="H25" s="6">
        <v>2013</v>
      </c>
      <c r="I25" s="6" t="s">
        <v>111</v>
      </c>
      <c r="J25" s="6" t="s">
        <v>128</v>
      </c>
      <c r="K25" s="7">
        <v>0</v>
      </c>
      <c r="L25" s="7">
        <v>35000</v>
      </c>
      <c r="M25" s="6" t="s">
        <v>157</v>
      </c>
      <c r="N25" s="7">
        <f t="shared" si="6"/>
        <v>35000</v>
      </c>
    </row>
    <row r="26" spans="1:14" ht="55" customHeight="1" x14ac:dyDescent="0.25">
      <c r="A26" s="9">
        <v>23</v>
      </c>
      <c r="B26" s="9" t="s">
        <v>210</v>
      </c>
      <c r="C26" s="9" t="s">
        <v>3</v>
      </c>
      <c r="D26" s="9" t="s">
        <v>81</v>
      </c>
      <c r="E26" s="9" t="s">
        <v>215</v>
      </c>
      <c r="F26" s="9" t="s">
        <v>18</v>
      </c>
      <c r="G26" s="9" t="s">
        <v>16</v>
      </c>
      <c r="H26" s="9">
        <v>2011</v>
      </c>
      <c r="I26" s="9" t="s">
        <v>214</v>
      </c>
      <c r="J26" s="9" t="s">
        <v>213</v>
      </c>
      <c r="K26" s="10">
        <v>21800</v>
      </c>
      <c r="L26" s="10">
        <v>0</v>
      </c>
      <c r="M26" s="9" t="s">
        <v>112</v>
      </c>
      <c r="N26" s="10">
        <f t="shared" si="6"/>
        <v>21800</v>
      </c>
    </row>
    <row r="27" spans="1:14" ht="60" customHeight="1" x14ac:dyDescent="0.25">
      <c r="A27" s="6" t="s">
        <v>319</v>
      </c>
      <c r="B27" s="6" t="s">
        <v>136</v>
      </c>
      <c r="C27" s="6" t="s">
        <v>150</v>
      </c>
      <c r="D27" s="6" t="s">
        <v>36</v>
      </c>
      <c r="E27" s="6" t="s">
        <v>120</v>
      </c>
      <c r="F27" s="6" t="s">
        <v>110</v>
      </c>
      <c r="G27" s="6" t="s">
        <v>16</v>
      </c>
      <c r="H27" s="6">
        <v>2018</v>
      </c>
      <c r="I27" s="6" t="s">
        <v>111</v>
      </c>
      <c r="J27" s="6" t="s">
        <v>111</v>
      </c>
      <c r="K27" s="7">
        <v>23000</v>
      </c>
      <c r="L27" s="7">
        <v>0</v>
      </c>
      <c r="M27" s="6" t="s">
        <v>148</v>
      </c>
      <c r="N27" s="7">
        <f t="shared" si="6"/>
        <v>23000</v>
      </c>
    </row>
    <row r="28" spans="1:14" ht="60" customHeight="1" x14ac:dyDescent="0.25">
      <c r="A28" s="6" t="s">
        <v>320</v>
      </c>
      <c r="B28" s="6" t="s">
        <v>150</v>
      </c>
      <c r="C28" s="6" t="s">
        <v>211</v>
      </c>
      <c r="D28" s="6" t="s">
        <v>36</v>
      </c>
      <c r="E28" s="6" t="s">
        <v>122</v>
      </c>
      <c r="F28" s="6" t="s">
        <v>123</v>
      </c>
      <c r="G28" s="6" t="s">
        <v>16</v>
      </c>
      <c r="H28" s="6">
        <v>2018</v>
      </c>
      <c r="I28" s="6" t="s">
        <v>111</v>
      </c>
      <c r="J28" s="6" t="s">
        <v>111</v>
      </c>
      <c r="K28" s="7">
        <v>0</v>
      </c>
      <c r="L28" s="7">
        <v>6000</v>
      </c>
      <c r="M28" s="6" t="s">
        <v>149</v>
      </c>
      <c r="N28" s="7">
        <f t="shared" si="6"/>
        <v>6000</v>
      </c>
    </row>
    <row r="29" spans="1:14" x14ac:dyDescent="0.25">
      <c r="A29" s="11">
        <v>25</v>
      </c>
      <c r="B29" s="9" t="s">
        <v>177</v>
      </c>
      <c r="C29" s="9" t="s">
        <v>263</v>
      </c>
      <c r="D29" s="9" t="s">
        <v>178</v>
      </c>
      <c r="E29" s="9" t="s">
        <v>179</v>
      </c>
      <c r="F29" s="9" t="s">
        <v>18</v>
      </c>
      <c r="G29" s="9" t="s">
        <v>20</v>
      </c>
      <c r="H29" s="9">
        <v>2025</v>
      </c>
      <c r="I29" s="9">
        <v>71131615</v>
      </c>
      <c r="J29" s="9" t="s">
        <v>180</v>
      </c>
      <c r="K29" s="10">
        <v>51739</v>
      </c>
      <c r="L29" s="10">
        <v>0</v>
      </c>
      <c r="M29" s="9" t="s">
        <v>112</v>
      </c>
      <c r="N29" s="10">
        <f t="shared" si="6"/>
        <v>51739</v>
      </c>
    </row>
    <row r="30" spans="1:14" ht="60" customHeight="1" x14ac:dyDescent="0.25">
      <c r="A30" s="12" t="s">
        <v>321</v>
      </c>
      <c r="B30" s="12" t="s">
        <v>3</v>
      </c>
      <c r="C30" s="12" t="s">
        <v>150</v>
      </c>
      <c r="D30" s="12" t="s">
        <v>36</v>
      </c>
      <c r="E30" s="12" t="s">
        <v>120</v>
      </c>
      <c r="F30" s="12" t="s">
        <v>110</v>
      </c>
      <c r="G30" s="12" t="s">
        <v>16</v>
      </c>
      <c r="H30" s="12">
        <v>2018</v>
      </c>
      <c r="I30" s="12" t="s">
        <v>111</v>
      </c>
      <c r="J30" s="12" t="s">
        <v>173</v>
      </c>
      <c r="K30" s="13">
        <v>23000</v>
      </c>
      <c r="L30" s="13">
        <v>0</v>
      </c>
      <c r="M30" s="12" t="s">
        <v>148</v>
      </c>
      <c r="N30" s="13">
        <f t="shared" ref="N30:N31" si="7">K30+L30</f>
        <v>23000</v>
      </c>
    </row>
    <row r="31" spans="1:14" ht="60" customHeight="1" x14ac:dyDescent="0.25">
      <c r="A31" s="12" t="s">
        <v>322</v>
      </c>
      <c r="B31" s="12" t="s">
        <v>150</v>
      </c>
      <c r="C31" s="12" t="s">
        <v>253</v>
      </c>
      <c r="D31" s="12" t="s">
        <v>36</v>
      </c>
      <c r="E31" s="12" t="s">
        <v>122</v>
      </c>
      <c r="F31" s="12" t="s">
        <v>123</v>
      </c>
      <c r="G31" s="12" t="s">
        <v>16</v>
      </c>
      <c r="H31" s="12">
        <v>2018</v>
      </c>
      <c r="I31" s="12" t="s">
        <v>111</v>
      </c>
      <c r="J31" s="12" t="s">
        <v>111</v>
      </c>
      <c r="K31" s="13">
        <v>0</v>
      </c>
      <c r="L31" s="13">
        <v>6000</v>
      </c>
      <c r="M31" s="12" t="s">
        <v>147</v>
      </c>
      <c r="N31" s="13">
        <f t="shared" si="7"/>
        <v>6000</v>
      </c>
    </row>
    <row r="32" spans="1:14" x14ac:dyDescent="0.25">
      <c r="A32" s="11">
        <v>27</v>
      </c>
      <c r="B32" s="9" t="s">
        <v>186</v>
      </c>
      <c r="C32" s="9" t="s">
        <v>264</v>
      </c>
      <c r="D32" s="9" t="s">
        <v>178</v>
      </c>
      <c r="E32" s="9" t="s">
        <v>179</v>
      </c>
      <c r="F32" s="9" t="s">
        <v>35</v>
      </c>
      <c r="G32" s="9" t="s">
        <v>15</v>
      </c>
      <c r="H32" s="9">
        <v>2024</v>
      </c>
      <c r="I32" s="9">
        <v>71122509</v>
      </c>
      <c r="J32" s="9" t="s">
        <v>200</v>
      </c>
      <c r="K32" s="10">
        <v>51739</v>
      </c>
      <c r="L32" s="10">
        <v>0</v>
      </c>
      <c r="M32" s="9" t="s">
        <v>112</v>
      </c>
      <c r="N32" s="10">
        <f>K32+L32</f>
        <v>51739</v>
      </c>
    </row>
    <row r="33" spans="1:14" ht="60" customHeight="1" x14ac:dyDescent="0.25">
      <c r="A33" s="1" t="s">
        <v>323</v>
      </c>
      <c r="B33" s="12" t="s">
        <v>3</v>
      </c>
      <c r="C33" s="12" t="s">
        <v>150</v>
      </c>
      <c r="D33" s="12" t="s">
        <v>36</v>
      </c>
      <c r="E33" s="12" t="s">
        <v>120</v>
      </c>
      <c r="F33" s="12" t="s">
        <v>110</v>
      </c>
      <c r="G33" s="12" t="s">
        <v>16</v>
      </c>
      <c r="H33" s="12">
        <v>2018</v>
      </c>
      <c r="I33" s="12" t="s">
        <v>111</v>
      </c>
      <c r="J33" s="12" t="s">
        <v>173</v>
      </c>
      <c r="K33" s="13">
        <v>23000</v>
      </c>
      <c r="L33" s="13">
        <v>0</v>
      </c>
      <c r="M33" s="12" t="s">
        <v>148</v>
      </c>
      <c r="N33" s="13">
        <f t="shared" ref="N33:N34" si="8">K33+L33</f>
        <v>23000</v>
      </c>
    </row>
    <row r="34" spans="1:14" ht="60" customHeight="1" x14ac:dyDescent="0.25">
      <c r="A34" s="1" t="s">
        <v>324</v>
      </c>
      <c r="B34" s="12" t="s">
        <v>150</v>
      </c>
      <c r="C34" s="12" t="s">
        <v>216</v>
      </c>
      <c r="D34" s="12" t="s">
        <v>36</v>
      </c>
      <c r="E34" s="12" t="s">
        <v>122</v>
      </c>
      <c r="F34" s="12" t="s">
        <v>123</v>
      </c>
      <c r="G34" s="12" t="s">
        <v>16</v>
      </c>
      <c r="H34" s="12">
        <v>2018</v>
      </c>
      <c r="I34" s="12" t="s">
        <v>111</v>
      </c>
      <c r="J34" s="12" t="s">
        <v>111</v>
      </c>
      <c r="K34" s="13">
        <v>0</v>
      </c>
      <c r="L34" s="13">
        <v>6000</v>
      </c>
      <c r="M34" s="12" t="s">
        <v>147</v>
      </c>
      <c r="N34" s="13">
        <f t="shared" si="8"/>
        <v>6000</v>
      </c>
    </row>
    <row r="35" spans="1:14" x14ac:dyDescent="0.25">
      <c r="A35" s="9">
        <v>29</v>
      </c>
      <c r="B35" s="9" t="s">
        <v>187</v>
      </c>
      <c r="C35" s="9" t="s">
        <v>265</v>
      </c>
      <c r="D35" s="9" t="s">
        <v>178</v>
      </c>
      <c r="E35" s="9" t="s">
        <v>179</v>
      </c>
      <c r="F35" s="9" t="s">
        <v>18</v>
      </c>
      <c r="G35" s="9" t="s">
        <v>42</v>
      </c>
      <c r="H35" s="9">
        <v>2025</v>
      </c>
      <c r="I35" s="9">
        <v>71131612</v>
      </c>
      <c r="J35" s="9" t="s">
        <v>201</v>
      </c>
      <c r="K35" s="10">
        <v>51739</v>
      </c>
      <c r="L35" s="10">
        <v>0</v>
      </c>
      <c r="M35" s="9" t="s">
        <v>112</v>
      </c>
      <c r="N35" s="10">
        <f t="shared" ref="N35:N40" si="9">K35+L35</f>
        <v>51739</v>
      </c>
    </row>
    <row r="36" spans="1:14" ht="60" customHeight="1" x14ac:dyDescent="0.25">
      <c r="A36" s="6" t="s">
        <v>325</v>
      </c>
      <c r="B36" s="6" t="s">
        <v>119</v>
      </c>
      <c r="C36" s="6" t="s">
        <v>150</v>
      </c>
      <c r="D36" s="6" t="s">
        <v>36</v>
      </c>
      <c r="E36" s="6" t="s">
        <v>120</v>
      </c>
      <c r="F36" s="6" t="s">
        <v>110</v>
      </c>
      <c r="G36" s="6" t="s">
        <v>16</v>
      </c>
      <c r="H36" s="6">
        <v>2019</v>
      </c>
      <c r="I36" s="6" t="s">
        <v>111</v>
      </c>
      <c r="J36" s="6" t="s">
        <v>137</v>
      </c>
      <c r="K36" s="7">
        <v>23000</v>
      </c>
      <c r="L36" s="7">
        <v>0</v>
      </c>
      <c r="M36" s="6" t="s">
        <v>124</v>
      </c>
      <c r="N36" s="7">
        <f t="shared" si="9"/>
        <v>23000</v>
      </c>
    </row>
    <row r="37" spans="1:14" ht="60" customHeight="1" x14ac:dyDescent="0.25">
      <c r="A37" s="6" t="s">
        <v>326</v>
      </c>
      <c r="B37" s="6" t="s">
        <v>150</v>
      </c>
      <c r="C37" s="6" t="s">
        <v>217</v>
      </c>
      <c r="D37" s="6" t="s">
        <v>36</v>
      </c>
      <c r="E37" s="6" t="s">
        <v>122</v>
      </c>
      <c r="F37" s="6" t="s">
        <v>123</v>
      </c>
      <c r="G37" s="6" t="s">
        <v>16</v>
      </c>
      <c r="H37" s="6">
        <v>2019</v>
      </c>
      <c r="I37" s="6" t="s">
        <v>111</v>
      </c>
      <c r="J37" s="6" t="s">
        <v>111</v>
      </c>
      <c r="K37" s="7">
        <v>0</v>
      </c>
      <c r="L37" s="7">
        <v>6000</v>
      </c>
      <c r="M37" s="6" t="s">
        <v>151</v>
      </c>
      <c r="N37" s="7">
        <f t="shared" si="9"/>
        <v>6000</v>
      </c>
    </row>
    <row r="38" spans="1:14" x14ac:dyDescent="0.25">
      <c r="A38" s="9">
        <v>31</v>
      </c>
      <c r="B38" s="9" t="s">
        <v>188</v>
      </c>
      <c r="C38" s="9" t="s">
        <v>266</v>
      </c>
      <c r="D38" s="9" t="s">
        <v>178</v>
      </c>
      <c r="E38" s="9" t="s">
        <v>179</v>
      </c>
      <c r="F38" s="9" t="s">
        <v>18</v>
      </c>
      <c r="G38" s="9" t="s">
        <v>20</v>
      </c>
      <c r="H38" s="9">
        <v>2025</v>
      </c>
      <c r="I38" s="9">
        <v>71131614</v>
      </c>
      <c r="J38" s="9" t="s">
        <v>202</v>
      </c>
      <c r="K38" s="10">
        <v>51739</v>
      </c>
      <c r="L38" s="10">
        <v>0</v>
      </c>
      <c r="M38" s="9" t="s">
        <v>112</v>
      </c>
      <c r="N38" s="10">
        <f t="shared" si="9"/>
        <v>51739</v>
      </c>
    </row>
    <row r="39" spans="1:14" ht="60" customHeight="1" x14ac:dyDescent="0.25">
      <c r="A39" s="6" t="s">
        <v>327</v>
      </c>
      <c r="B39" s="6" t="s">
        <v>3</v>
      </c>
      <c r="C39" s="6" t="s">
        <v>150</v>
      </c>
      <c r="D39" s="6" t="s">
        <v>36</v>
      </c>
      <c r="E39" s="6" t="s">
        <v>120</v>
      </c>
      <c r="F39" s="6" t="s">
        <v>110</v>
      </c>
      <c r="G39" s="6" t="s">
        <v>16</v>
      </c>
      <c r="H39" s="6">
        <v>2018</v>
      </c>
      <c r="I39" s="6" t="s">
        <v>111</v>
      </c>
      <c r="J39" s="6" t="s">
        <v>137</v>
      </c>
      <c r="K39" s="7">
        <v>23000</v>
      </c>
      <c r="L39" s="7">
        <v>0</v>
      </c>
      <c r="M39" s="6" t="s">
        <v>124</v>
      </c>
      <c r="N39" s="7">
        <f t="shared" si="9"/>
        <v>23000</v>
      </c>
    </row>
    <row r="40" spans="1:14" ht="60" customHeight="1" x14ac:dyDescent="0.25">
      <c r="A40" s="6" t="s">
        <v>328</v>
      </c>
      <c r="B40" s="6" t="s">
        <v>150</v>
      </c>
      <c r="C40" s="6" t="s">
        <v>218</v>
      </c>
      <c r="D40" s="6" t="s">
        <v>36</v>
      </c>
      <c r="E40" s="6" t="s">
        <v>122</v>
      </c>
      <c r="F40" s="6" t="s">
        <v>123</v>
      </c>
      <c r="G40" s="6" t="s">
        <v>16</v>
      </c>
      <c r="H40" s="6">
        <v>2018</v>
      </c>
      <c r="I40" s="6" t="s">
        <v>111</v>
      </c>
      <c r="J40" s="6" t="s">
        <v>111</v>
      </c>
      <c r="K40" s="7">
        <v>0</v>
      </c>
      <c r="L40" s="7">
        <v>6000</v>
      </c>
      <c r="M40" s="6" t="s">
        <v>151</v>
      </c>
      <c r="N40" s="7">
        <f t="shared" si="9"/>
        <v>6000</v>
      </c>
    </row>
    <row r="41" spans="1:14" x14ac:dyDescent="0.25">
      <c r="A41" s="9">
        <v>33</v>
      </c>
      <c r="B41" s="9" t="s">
        <v>189</v>
      </c>
      <c r="C41" s="9" t="s">
        <v>267</v>
      </c>
      <c r="D41" s="9" t="s">
        <v>178</v>
      </c>
      <c r="E41" s="9" t="s">
        <v>179</v>
      </c>
      <c r="F41" s="9" t="s">
        <v>18</v>
      </c>
      <c r="G41" s="9" t="s">
        <v>16</v>
      </c>
      <c r="H41" s="9">
        <v>2025</v>
      </c>
      <c r="I41" s="9">
        <v>71131613</v>
      </c>
      <c r="J41" s="9" t="s">
        <v>203</v>
      </c>
      <c r="K41" s="10">
        <v>51739</v>
      </c>
      <c r="L41" s="10">
        <v>0</v>
      </c>
      <c r="M41" s="9" t="s">
        <v>112</v>
      </c>
      <c r="N41" s="10">
        <f t="shared" ref="N41" si="10">K41+L41</f>
        <v>51739</v>
      </c>
    </row>
    <row r="42" spans="1:14" ht="60" customHeight="1" x14ac:dyDescent="0.25">
      <c r="A42" s="6" t="s">
        <v>329</v>
      </c>
      <c r="B42" s="6" t="s">
        <v>3</v>
      </c>
      <c r="C42" s="6" t="s">
        <v>150</v>
      </c>
      <c r="D42" s="6" t="s">
        <v>36</v>
      </c>
      <c r="E42" s="6" t="s">
        <v>120</v>
      </c>
      <c r="F42" s="6" t="s">
        <v>110</v>
      </c>
      <c r="G42" s="6" t="s">
        <v>16</v>
      </c>
      <c r="H42" s="6">
        <v>2024</v>
      </c>
      <c r="I42" s="6" t="s">
        <v>111</v>
      </c>
      <c r="J42" s="6" t="s">
        <v>137</v>
      </c>
      <c r="K42" s="7">
        <v>23000</v>
      </c>
      <c r="L42" s="7">
        <v>0</v>
      </c>
      <c r="M42" s="6" t="s">
        <v>124</v>
      </c>
      <c r="N42" s="7">
        <f t="shared" ref="N42:N47" si="11">K42+L42</f>
        <v>23000</v>
      </c>
    </row>
    <row r="43" spans="1:14" ht="60" customHeight="1" x14ac:dyDescent="0.25">
      <c r="A43" s="6" t="s">
        <v>330</v>
      </c>
      <c r="B43" s="6" t="s">
        <v>150</v>
      </c>
      <c r="C43" s="6" t="s">
        <v>219</v>
      </c>
      <c r="D43" s="6" t="s">
        <v>36</v>
      </c>
      <c r="E43" s="6" t="s">
        <v>122</v>
      </c>
      <c r="F43" s="6" t="s">
        <v>123</v>
      </c>
      <c r="G43" s="6" t="s">
        <v>16</v>
      </c>
      <c r="H43" s="6">
        <v>2024</v>
      </c>
      <c r="I43" s="6" t="s">
        <v>111</v>
      </c>
      <c r="J43" s="6" t="s">
        <v>111</v>
      </c>
      <c r="K43" s="7">
        <v>0</v>
      </c>
      <c r="L43" s="7">
        <v>6000</v>
      </c>
      <c r="M43" s="6" t="s">
        <v>151</v>
      </c>
      <c r="N43" s="7">
        <f t="shared" si="11"/>
        <v>6000</v>
      </c>
    </row>
    <row r="44" spans="1:14" x14ac:dyDescent="0.25">
      <c r="A44" s="9">
        <v>35</v>
      </c>
      <c r="B44" s="9" t="s">
        <v>190</v>
      </c>
      <c r="C44" s="9" t="s">
        <v>268</v>
      </c>
      <c r="D44" s="9" t="s">
        <v>178</v>
      </c>
      <c r="E44" s="9" t="s">
        <v>179</v>
      </c>
      <c r="F44" s="9" t="s">
        <v>18</v>
      </c>
      <c r="G44" s="9" t="s">
        <v>42</v>
      </c>
      <c r="H44" s="9">
        <v>2025</v>
      </c>
      <c r="I44" s="9">
        <v>71131611</v>
      </c>
      <c r="J44" s="9" t="s">
        <v>204</v>
      </c>
      <c r="K44" s="10">
        <v>51739</v>
      </c>
      <c r="L44" s="10">
        <v>0</v>
      </c>
      <c r="M44" s="9" t="s">
        <v>112</v>
      </c>
      <c r="N44" s="10">
        <f t="shared" si="11"/>
        <v>51739</v>
      </c>
    </row>
    <row r="45" spans="1:14" ht="60" customHeight="1" x14ac:dyDescent="0.25">
      <c r="A45" s="6" t="s">
        <v>331</v>
      </c>
      <c r="B45" s="6" t="s">
        <v>3</v>
      </c>
      <c r="C45" s="6" t="s">
        <v>150</v>
      </c>
      <c r="D45" s="6" t="s">
        <v>36</v>
      </c>
      <c r="E45" s="6" t="s">
        <v>120</v>
      </c>
      <c r="F45" s="6" t="s">
        <v>110</v>
      </c>
      <c r="G45" s="6" t="s">
        <v>16</v>
      </c>
      <c r="H45" s="6">
        <v>2024</v>
      </c>
      <c r="I45" s="6" t="s">
        <v>111</v>
      </c>
      <c r="J45" s="6" t="s">
        <v>137</v>
      </c>
      <c r="K45" s="7">
        <v>23000</v>
      </c>
      <c r="L45" s="7">
        <v>0</v>
      </c>
      <c r="M45" s="6" t="s">
        <v>124</v>
      </c>
      <c r="N45" s="7">
        <f t="shared" si="11"/>
        <v>23000</v>
      </c>
    </row>
    <row r="46" spans="1:14" s="4" customFormat="1" ht="60" customHeight="1" x14ac:dyDescent="0.25">
      <c r="A46" s="6" t="s">
        <v>332</v>
      </c>
      <c r="B46" s="6" t="s">
        <v>150</v>
      </c>
      <c r="C46" s="6" t="s">
        <v>256</v>
      </c>
      <c r="D46" s="6" t="s">
        <v>36</v>
      </c>
      <c r="E46" s="6" t="s">
        <v>122</v>
      </c>
      <c r="F46" s="6" t="s">
        <v>123</v>
      </c>
      <c r="G46" s="6" t="s">
        <v>16</v>
      </c>
      <c r="H46" s="6">
        <v>2024</v>
      </c>
      <c r="I46" s="6" t="s">
        <v>111</v>
      </c>
      <c r="J46" s="6" t="s">
        <v>111</v>
      </c>
      <c r="K46" s="7">
        <v>0</v>
      </c>
      <c r="L46" s="7">
        <v>6000</v>
      </c>
      <c r="M46" s="6" t="s">
        <v>151</v>
      </c>
      <c r="N46" s="7">
        <f t="shared" si="11"/>
        <v>6000</v>
      </c>
    </row>
    <row r="47" spans="1:14" s="4" customFormat="1" ht="10.5" x14ac:dyDescent="0.25">
      <c r="A47" s="9">
        <v>37</v>
      </c>
      <c r="B47" s="9" t="s">
        <v>271</v>
      </c>
      <c r="C47" s="9" t="s">
        <v>3</v>
      </c>
      <c r="D47" s="9" t="s">
        <v>272</v>
      </c>
      <c r="E47" s="9" t="s">
        <v>273</v>
      </c>
      <c r="F47" s="9" t="s">
        <v>35</v>
      </c>
      <c r="G47" s="9" t="s">
        <v>15</v>
      </c>
      <c r="H47" s="9">
        <v>2025</v>
      </c>
      <c r="I47" s="9">
        <v>85206014</v>
      </c>
      <c r="J47" s="9" t="s">
        <v>274</v>
      </c>
      <c r="K47" s="10">
        <v>127739</v>
      </c>
      <c r="L47" s="10">
        <v>0</v>
      </c>
      <c r="M47" s="9" t="s">
        <v>112</v>
      </c>
      <c r="N47" s="10">
        <f t="shared" si="11"/>
        <v>127739</v>
      </c>
    </row>
    <row r="48" spans="1:14" ht="80" customHeight="1" x14ac:dyDescent="0.25">
      <c r="A48" s="6">
        <v>38</v>
      </c>
      <c r="B48" s="6" t="s">
        <v>3</v>
      </c>
      <c r="C48" s="6" t="s">
        <v>221</v>
      </c>
      <c r="D48" s="6" t="s">
        <v>109</v>
      </c>
      <c r="E48" s="6" t="s">
        <v>153</v>
      </c>
      <c r="F48" s="6" t="s">
        <v>110</v>
      </c>
      <c r="G48" s="6" t="s">
        <v>42</v>
      </c>
      <c r="H48" s="6">
        <v>2018</v>
      </c>
      <c r="I48" s="6" t="s">
        <v>111</v>
      </c>
      <c r="J48" s="6" t="s">
        <v>138</v>
      </c>
      <c r="K48" s="7">
        <v>0</v>
      </c>
      <c r="L48" s="7">
        <v>92000</v>
      </c>
      <c r="M48" s="6" t="s">
        <v>152</v>
      </c>
      <c r="N48" s="7">
        <f t="shared" ref="N48" si="12">K48+L48</f>
        <v>92000</v>
      </c>
    </row>
    <row r="49" spans="1:14" s="4" customFormat="1" ht="10.5" x14ac:dyDescent="0.25">
      <c r="A49" s="9">
        <v>39</v>
      </c>
      <c r="B49" s="9" t="s">
        <v>275</v>
      </c>
      <c r="C49" s="9" t="s">
        <v>3</v>
      </c>
      <c r="D49" s="9" t="s">
        <v>272</v>
      </c>
      <c r="E49" s="9" t="s">
        <v>273</v>
      </c>
      <c r="F49" s="9" t="s">
        <v>35</v>
      </c>
      <c r="G49" s="9" t="s">
        <v>15</v>
      </c>
      <c r="H49" s="9">
        <v>2025</v>
      </c>
      <c r="I49" s="9">
        <v>85206013</v>
      </c>
      <c r="J49" s="9" t="s">
        <v>276</v>
      </c>
      <c r="K49" s="10">
        <v>127739</v>
      </c>
      <c r="L49" s="10">
        <v>0</v>
      </c>
      <c r="M49" s="9" t="s">
        <v>112</v>
      </c>
      <c r="N49" s="10">
        <f>K49+L49</f>
        <v>127739</v>
      </c>
    </row>
    <row r="50" spans="1:14" ht="80" customHeight="1" x14ac:dyDescent="0.25">
      <c r="A50" s="6">
        <v>40</v>
      </c>
      <c r="B50" s="6" t="s">
        <v>108</v>
      </c>
      <c r="C50" s="6" t="s">
        <v>220</v>
      </c>
      <c r="D50" s="6" t="s">
        <v>109</v>
      </c>
      <c r="E50" s="6" t="s">
        <v>153</v>
      </c>
      <c r="F50" s="6" t="s">
        <v>110</v>
      </c>
      <c r="G50" s="6" t="s">
        <v>42</v>
      </c>
      <c r="H50" s="6">
        <v>2018</v>
      </c>
      <c r="I50" s="6" t="s">
        <v>111</v>
      </c>
      <c r="J50" s="6" t="s">
        <v>138</v>
      </c>
      <c r="K50" s="7">
        <v>0</v>
      </c>
      <c r="L50" s="7">
        <v>92000</v>
      </c>
      <c r="M50" s="6" t="s">
        <v>155</v>
      </c>
      <c r="N50" s="7">
        <f t="shared" ref="N50" si="13">K50+L50</f>
        <v>92000</v>
      </c>
    </row>
    <row r="51" spans="1:14" s="4" customFormat="1" ht="10.5" x14ac:dyDescent="0.25">
      <c r="A51" s="9">
        <v>41</v>
      </c>
      <c r="B51" s="9" t="s">
        <v>277</v>
      </c>
      <c r="C51" s="9" t="s">
        <v>3</v>
      </c>
      <c r="D51" s="9" t="s">
        <v>272</v>
      </c>
      <c r="E51" s="9" t="s">
        <v>273</v>
      </c>
      <c r="F51" s="9" t="s">
        <v>35</v>
      </c>
      <c r="G51" s="9" t="s">
        <v>15</v>
      </c>
      <c r="H51" s="9">
        <v>2025</v>
      </c>
      <c r="I51" s="9">
        <v>85206015</v>
      </c>
      <c r="J51" s="9" t="s">
        <v>278</v>
      </c>
      <c r="K51" s="10">
        <v>127739</v>
      </c>
      <c r="L51" s="10">
        <v>0</v>
      </c>
      <c r="M51" s="9" t="s">
        <v>112</v>
      </c>
      <c r="N51" s="10">
        <f>K51+L51</f>
        <v>127739</v>
      </c>
    </row>
    <row r="52" spans="1:14" ht="80" customHeight="1" x14ac:dyDescent="0.25">
      <c r="A52" s="6">
        <v>42</v>
      </c>
      <c r="B52" s="6" t="s">
        <v>3</v>
      </c>
      <c r="C52" s="6" t="s">
        <v>222</v>
      </c>
      <c r="D52" s="6" t="s">
        <v>109</v>
      </c>
      <c r="E52" s="6" t="s">
        <v>153</v>
      </c>
      <c r="F52" s="6" t="s">
        <v>110</v>
      </c>
      <c r="G52" s="6" t="s">
        <v>42</v>
      </c>
      <c r="H52" s="6">
        <v>2023</v>
      </c>
      <c r="I52" s="6" t="s">
        <v>111</v>
      </c>
      <c r="J52" s="6" t="s">
        <v>3</v>
      </c>
      <c r="K52" s="7">
        <v>0</v>
      </c>
      <c r="L52" s="7">
        <v>92000</v>
      </c>
      <c r="M52" s="6" t="s">
        <v>285</v>
      </c>
      <c r="N52" s="7">
        <f t="shared" ref="N52" si="14">K52+L52</f>
        <v>92000</v>
      </c>
    </row>
    <row r="53" spans="1:14" s="4" customFormat="1" ht="10.5" x14ac:dyDescent="0.25">
      <c r="A53" s="9">
        <v>43</v>
      </c>
      <c r="B53" s="9" t="s">
        <v>279</v>
      </c>
      <c r="C53" s="9" t="s">
        <v>3</v>
      </c>
      <c r="D53" s="9" t="s">
        <v>272</v>
      </c>
      <c r="E53" s="9" t="s">
        <v>273</v>
      </c>
      <c r="F53" s="9" t="s">
        <v>35</v>
      </c>
      <c r="G53" s="9" t="s">
        <v>33</v>
      </c>
      <c r="H53" s="9">
        <v>2025</v>
      </c>
      <c r="I53" s="9">
        <v>85206011</v>
      </c>
      <c r="J53" s="9" t="s">
        <v>280</v>
      </c>
      <c r="K53" s="10">
        <v>127739</v>
      </c>
      <c r="L53" s="10">
        <v>0</v>
      </c>
      <c r="M53" s="9" t="s">
        <v>112</v>
      </c>
      <c r="N53" s="10">
        <f>K53+L53</f>
        <v>127739</v>
      </c>
    </row>
    <row r="54" spans="1:14" ht="80" customHeight="1" x14ac:dyDescent="0.25">
      <c r="A54" s="6">
        <v>44</v>
      </c>
      <c r="B54" s="6" t="s">
        <v>3</v>
      </c>
      <c r="C54" s="6" t="s">
        <v>223</v>
      </c>
      <c r="D54" s="6" t="s">
        <v>109</v>
      </c>
      <c r="E54" s="6" t="s">
        <v>153</v>
      </c>
      <c r="F54" s="6" t="s">
        <v>110</v>
      </c>
      <c r="G54" s="6" t="s">
        <v>42</v>
      </c>
      <c r="H54" s="6">
        <v>2023</v>
      </c>
      <c r="I54" s="6" t="s">
        <v>111</v>
      </c>
      <c r="J54" s="6" t="s">
        <v>3</v>
      </c>
      <c r="K54" s="7">
        <v>0</v>
      </c>
      <c r="L54" s="7">
        <v>92000</v>
      </c>
      <c r="M54" s="6" t="s">
        <v>286</v>
      </c>
      <c r="N54" s="7">
        <f t="shared" ref="N54" si="15">K54+L54</f>
        <v>92000</v>
      </c>
    </row>
    <row r="55" spans="1:14" s="4" customFormat="1" ht="10.5" x14ac:dyDescent="0.25">
      <c r="A55" s="9">
        <v>45</v>
      </c>
      <c r="B55" s="9" t="s">
        <v>23</v>
      </c>
      <c r="C55" s="9" t="s">
        <v>287</v>
      </c>
      <c r="D55" s="9" t="s">
        <v>14</v>
      </c>
      <c r="E55" s="9" t="s">
        <v>17</v>
      </c>
      <c r="F55" s="9" t="s">
        <v>18</v>
      </c>
      <c r="G55" s="9" t="s">
        <v>26</v>
      </c>
      <c r="H55" s="9">
        <v>2014</v>
      </c>
      <c r="I55" s="9" t="s">
        <v>24</v>
      </c>
      <c r="J55" s="9" t="s">
        <v>25</v>
      </c>
      <c r="K55" s="10">
        <v>52000</v>
      </c>
      <c r="L55" s="10">
        <v>0</v>
      </c>
      <c r="M55" s="9" t="s">
        <v>112</v>
      </c>
      <c r="N55" s="10">
        <f>K55+L55</f>
        <v>52000</v>
      </c>
    </row>
    <row r="56" spans="1:14" ht="60" customHeight="1" x14ac:dyDescent="0.25">
      <c r="A56" s="6" t="s">
        <v>171</v>
      </c>
      <c r="B56" s="6" t="s">
        <v>3</v>
      </c>
      <c r="C56" s="6" t="s">
        <v>150</v>
      </c>
      <c r="D56" s="6" t="s">
        <v>36</v>
      </c>
      <c r="E56" s="6" t="s">
        <v>120</v>
      </c>
      <c r="F56" s="6" t="s">
        <v>142</v>
      </c>
      <c r="G56" s="6" t="s">
        <v>34</v>
      </c>
      <c r="H56" s="6">
        <v>2011</v>
      </c>
      <c r="I56" s="6" t="s">
        <v>111</v>
      </c>
      <c r="J56" s="6" t="s">
        <v>111</v>
      </c>
      <c r="K56" s="7">
        <v>23000</v>
      </c>
      <c r="L56" s="7">
        <v>0</v>
      </c>
      <c r="M56" s="6" t="s">
        <v>143</v>
      </c>
      <c r="N56" s="7">
        <f>K56+L56</f>
        <v>23000</v>
      </c>
    </row>
    <row r="57" spans="1:14" ht="60" customHeight="1" x14ac:dyDescent="0.25">
      <c r="A57" s="6" t="s">
        <v>172</v>
      </c>
      <c r="B57" s="6" t="s">
        <v>205</v>
      </c>
      <c r="C57" s="6" t="s">
        <v>3</v>
      </c>
      <c r="D57" s="6" t="s">
        <v>36</v>
      </c>
      <c r="E57" s="6" t="s">
        <v>144</v>
      </c>
      <c r="F57" s="6" t="s">
        <v>123</v>
      </c>
      <c r="G57" s="6" t="s">
        <v>20</v>
      </c>
      <c r="H57" s="6">
        <v>2011</v>
      </c>
      <c r="I57" s="6" t="s">
        <v>111</v>
      </c>
      <c r="J57" s="6" t="s">
        <v>111</v>
      </c>
      <c r="K57" s="7">
        <v>0</v>
      </c>
      <c r="L57" s="7">
        <v>6000</v>
      </c>
      <c r="M57" s="6" t="s">
        <v>145</v>
      </c>
      <c r="N57" s="7">
        <f>K57+L57</f>
        <v>6000</v>
      </c>
    </row>
    <row r="58" spans="1:14" x14ac:dyDescent="0.25">
      <c r="A58" s="9">
        <v>47</v>
      </c>
      <c r="B58" s="9" t="s">
        <v>2</v>
      </c>
      <c r="C58" s="9" t="s">
        <v>288</v>
      </c>
      <c r="D58" s="9" t="s">
        <v>14</v>
      </c>
      <c r="E58" s="9" t="s">
        <v>17</v>
      </c>
      <c r="F58" s="9" t="s">
        <v>18</v>
      </c>
      <c r="G58" s="9" t="s">
        <v>16</v>
      </c>
      <c r="H58" s="9">
        <v>2013</v>
      </c>
      <c r="I58" s="9" t="s">
        <v>21</v>
      </c>
      <c r="J58" s="9" t="s">
        <v>22</v>
      </c>
      <c r="K58" s="10">
        <v>42500</v>
      </c>
      <c r="L58" s="10">
        <v>0</v>
      </c>
      <c r="M58" s="9" t="s">
        <v>112</v>
      </c>
      <c r="N58" s="10">
        <f>K58+L58</f>
        <v>42500</v>
      </c>
    </row>
    <row r="59" spans="1:14" ht="60" customHeight="1" x14ac:dyDescent="0.25">
      <c r="A59" s="6" t="s">
        <v>301</v>
      </c>
      <c r="B59" s="6" t="s">
        <v>3</v>
      </c>
      <c r="C59" s="6" t="s">
        <v>150</v>
      </c>
      <c r="D59" s="6" t="s">
        <v>36</v>
      </c>
      <c r="E59" s="6" t="s">
        <v>120</v>
      </c>
      <c r="F59" s="6" t="s">
        <v>142</v>
      </c>
      <c r="G59" s="6" t="s">
        <v>34</v>
      </c>
      <c r="H59" s="6">
        <v>2011</v>
      </c>
      <c r="I59" s="6" t="s">
        <v>111</v>
      </c>
      <c r="J59" s="6" t="s">
        <v>111</v>
      </c>
      <c r="K59" s="7">
        <v>23000</v>
      </c>
      <c r="L59" s="7">
        <v>0</v>
      </c>
      <c r="M59" s="6" t="s">
        <v>143</v>
      </c>
      <c r="N59" s="7">
        <f t="shared" ref="N59:N60" si="16">K59+L59</f>
        <v>23000</v>
      </c>
    </row>
    <row r="60" spans="1:14" ht="60" customHeight="1" x14ac:dyDescent="0.25">
      <c r="A60" s="6" t="s">
        <v>302</v>
      </c>
      <c r="B60" s="6" t="s">
        <v>206</v>
      </c>
      <c r="C60" s="6" t="s">
        <v>3</v>
      </c>
      <c r="D60" s="6" t="s">
        <v>36</v>
      </c>
      <c r="E60" s="6" t="s">
        <v>144</v>
      </c>
      <c r="F60" s="6" t="s">
        <v>123</v>
      </c>
      <c r="G60" s="6" t="s">
        <v>20</v>
      </c>
      <c r="H60" s="6">
        <v>2011</v>
      </c>
      <c r="I60" s="6" t="s">
        <v>111</v>
      </c>
      <c r="J60" s="6" t="s">
        <v>111</v>
      </c>
      <c r="K60" s="7">
        <v>0</v>
      </c>
      <c r="L60" s="7">
        <v>6000</v>
      </c>
      <c r="M60" s="6" t="s">
        <v>146</v>
      </c>
      <c r="N60" s="7">
        <f t="shared" si="16"/>
        <v>6000</v>
      </c>
    </row>
    <row r="61" spans="1:14" ht="24.5" customHeight="1" x14ac:dyDescent="0.25">
      <c r="A61" s="9">
        <v>49</v>
      </c>
      <c r="B61" s="9" t="s">
        <v>47</v>
      </c>
      <c r="C61" s="9" t="s">
        <v>252</v>
      </c>
      <c r="D61" s="9" t="s">
        <v>27</v>
      </c>
      <c r="E61" s="9" t="s">
        <v>28</v>
      </c>
      <c r="F61" s="9" t="s">
        <v>35</v>
      </c>
      <c r="G61" s="9" t="s">
        <v>33</v>
      </c>
      <c r="H61" s="9">
        <v>2018</v>
      </c>
      <c r="I61" s="9" t="s">
        <v>31</v>
      </c>
      <c r="J61" s="9" t="s">
        <v>32</v>
      </c>
      <c r="K61" s="10">
        <v>52000</v>
      </c>
      <c r="L61" s="10">
        <v>12000</v>
      </c>
      <c r="M61" s="9" t="s">
        <v>154</v>
      </c>
      <c r="N61" s="10">
        <f>K61+L61</f>
        <v>64000</v>
      </c>
    </row>
    <row r="62" spans="1:14" x14ac:dyDescent="0.25">
      <c r="A62" s="9">
        <v>50</v>
      </c>
      <c r="B62" s="9" t="s">
        <v>46</v>
      </c>
      <c r="C62" s="9" t="s">
        <v>3</v>
      </c>
      <c r="D62" s="9" t="s">
        <v>27</v>
      </c>
      <c r="E62" s="9" t="s">
        <v>28</v>
      </c>
      <c r="F62" s="9" t="s">
        <v>35</v>
      </c>
      <c r="G62" s="9" t="s">
        <v>15</v>
      </c>
      <c r="H62" s="9">
        <v>2018</v>
      </c>
      <c r="I62" s="9" t="s">
        <v>29</v>
      </c>
      <c r="J62" s="9" t="s">
        <v>30</v>
      </c>
      <c r="K62" s="10">
        <v>52000</v>
      </c>
      <c r="L62" s="10">
        <v>0</v>
      </c>
      <c r="M62" s="9" t="s">
        <v>112</v>
      </c>
      <c r="N62" s="10">
        <f>K62+L62</f>
        <v>52000</v>
      </c>
    </row>
    <row r="63" spans="1:14" x14ac:dyDescent="0.25">
      <c r="A63" s="9">
        <v>51</v>
      </c>
      <c r="B63" s="9" t="s">
        <v>71</v>
      </c>
      <c r="C63" s="9" t="s">
        <v>242</v>
      </c>
      <c r="D63" s="9" t="s">
        <v>27</v>
      </c>
      <c r="E63" s="9" t="s">
        <v>45</v>
      </c>
      <c r="F63" s="9" t="s">
        <v>35</v>
      </c>
      <c r="G63" s="9" t="s">
        <v>72</v>
      </c>
      <c r="H63" s="9">
        <v>2019</v>
      </c>
      <c r="I63" s="9" t="s">
        <v>73</v>
      </c>
      <c r="J63" s="9" t="s">
        <v>74</v>
      </c>
      <c r="K63" s="10">
        <v>58900</v>
      </c>
      <c r="L63" s="10">
        <v>0</v>
      </c>
      <c r="M63" s="9" t="s">
        <v>112</v>
      </c>
      <c r="N63" s="10">
        <f>K63+L63</f>
        <v>58900</v>
      </c>
    </row>
    <row r="64" spans="1:14" x14ac:dyDescent="0.25">
      <c r="A64" s="9">
        <v>52</v>
      </c>
      <c r="B64" s="9" t="s">
        <v>182</v>
      </c>
      <c r="C64" s="9" t="s">
        <v>248</v>
      </c>
      <c r="D64" s="9" t="s">
        <v>181</v>
      </c>
      <c r="E64" s="9" t="s">
        <v>191</v>
      </c>
      <c r="F64" s="9" t="s">
        <v>35</v>
      </c>
      <c r="G64" s="9" t="s">
        <v>20</v>
      </c>
      <c r="H64" s="9">
        <v>2025</v>
      </c>
      <c r="I64" s="9" t="s">
        <v>192</v>
      </c>
      <c r="J64" s="9" t="s">
        <v>193</v>
      </c>
      <c r="K64" s="10">
        <v>51753</v>
      </c>
      <c r="L64" s="10">
        <v>0</v>
      </c>
      <c r="M64" s="9" t="s">
        <v>112</v>
      </c>
      <c r="N64" s="10">
        <f t="shared" ref="N64:N67" si="17">K64+L64</f>
        <v>51753</v>
      </c>
    </row>
    <row r="65" spans="1:14" x14ac:dyDescent="0.25">
      <c r="A65" s="9">
        <v>53</v>
      </c>
      <c r="B65" s="9" t="s">
        <v>183</v>
      </c>
      <c r="C65" s="9" t="s">
        <v>249</v>
      </c>
      <c r="D65" s="9" t="s">
        <v>181</v>
      </c>
      <c r="E65" s="9" t="s">
        <v>191</v>
      </c>
      <c r="F65" s="9" t="s">
        <v>35</v>
      </c>
      <c r="G65" s="9" t="s">
        <v>20</v>
      </c>
      <c r="H65" s="9">
        <v>2025</v>
      </c>
      <c r="I65" s="9" t="s">
        <v>194</v>
      </c>
      <c r="J65" s="9" t="s">
        <v>195</v>
      </c>
      <c r="K65" s="10">
        <v>51753</v>
      </c>
      <c r="L65" s="10">
        <v>0</v>
      </c>
      <c r="M65" s="9" t="s">
        <v>112</v>
      </c>
      <c r="N65" s="10">
        <f t="shared" si="17"/>
        <v>51753</v>
      </c>
    </row>
    <row r="66" spans="1:14" x14ac:dyDescent="0.25">
      <c r="A66" s="9">
        <v>54</v>
      </c>
      <c r="B66" s="9" t="s">
        <v>184</v>
      </c>
      <c r="C66" s="9" t="s">
        <v>250</v>
      </c>
      <c r="D66" s="9" t="s">
        <v>181</v>
      </c>
      <c r="E66" s="9" t="s">
        <v>191</v>
      </c>
      <c r="F66" s="9" t="s">
        <v>35</v>
      </c>
      <c r="G66" s="9" t="s">
        <v>20</v>
      </c>
      <c r="H66" s="9">
        <v>2025</v>
      </c>
      <c r="I66" s="9" t="s">
        <v>196</v>
      </c>
      <c r="J66" s="9" t="s">
        <v>197</v>
      </c>
      <c r="K66" s="10">
        <v>51753</v>
      </c>
      <c r="L66" s="10">
        <v>0</v>
      </c>
      <c r="M66" s="9" t="s">
        <v>112</v>
      </c>
      <c r="N66" s="10">
        <f t="shared" si="17"/>
        <v>51753</v>
      </c>
    </row>
    <row r="67" spans="1:14" x14ac:dyDescent="0.25">
      <c r="A67" s="9">
        <v>55</v>
      </c>
      <c r="B67" s="9" t="s">
        <v>185</v>
      </c>
      <c r="C67" s="9" t="s">
        <v>251</v>
      </c>
      <c r="D67" s="9" t="s">
        <v>181</v>
      </c>
      <c r="E67" s="9" t="s">
        <v>191</v>
      </c>
      <c r="F67" s="9" t="s">
        <v>35</v>
      </c>
      <c r="G67" s="9" t="s">
        <v>20</v>
      </c>
      <c r="H67" s="9">
        <v>2025</v>
      </c>
      <c r="I67" s="9" t="s">
        <v>198</v>
      </c>
      <c r="J67" s="9" t="s">
        <v>199</v>
      </c>
      <c r="K67" s="10">
        <v>51753</v>
      </c>
      <c r="L67" s="10">
        <v>0</v>
      </c>
      <c r="M67" s="9" t="s">
        <v>112</v>
      </c>
      <c r="N67" s="10">
        <f t="shared" si="17"/>
        <v>51753</v>
      </c>
    </row>
    <row r="68" spans="1:14" x14ac:dyDescent="0.25">
      <c r="A68" s="9">
        <v>56</v>
      </c>
      <c r="B68" s="9" t="s">
        <v>80</v>
      </c>
      <c r="C68" s="9" t="s">
        <v>303</v>
      </c>
      <c r="D68" s="9" t="s">
        <v>81</v>
      </c>
      <c r="E68" s="9" t="s">
        <v>314</v>
      </c>
      <c r="F68" s="9" t="s">
        <v>78</v>
      </c>
      <c r="G68" s="9" t="s">
        <v>34</v>
      </c>
      <c r="H68" s="9">
        <v>2013</v>
      </c>
      <c r="I68" s="9" t="s">
        <v>82</v>
      </c>
      <c r="J68" s="9" t="s">
        <v>83</v>
      </c>
      <c r="K68" s="10">
        <v>28000</v>
      </c>
      <c r="L68" s="10">
        <v>0</v>
      </c>
      <c r="M68" s="9" t="s">
        <v>315</v>
      </c>
      <c r="N68" s="10">
        <f t="shared" ref="N68" si="18">K68+L68</f>
        <v>28000</v>
      </c>
    </row>
    <row r="69" spans="1:14" x14ac:dyDescent="0.25">
      <c r="A69" s="9">
        <v>57</v>
      </c>
      <c r="B69" s="9" t="s">
        <v>79</v>
      </c>
      <c r="C69" s="9" t="s">
        <v>316</v>
      </c>
      <c r="D69" s="9" t="s">
        <v>317</v>
      </c>
      <c r="E69" s="9" t="s">
        <v>317</v>
      </c>
      <c r="F69" s="9" t="s">
        <v>78</v>
      </c>
      <c r="G69" s="9" t="s">
        <v>20</v>
      </c>
      <c r="H69" s="9">
        <v>1983</v>
      </c>
      <c r="I69" s="9">
        <v>10736712</v>
      </c>
      <c r="J69" s="9" t="s">
        <v>318</v>
      </c>
      <c r="K69" s="10">
        <v>10000</v>
      </c>
      <c r="L69" s="10">
        <v>0</v>
      </c>
      <c r="M69" s="9" t="s">
        <v>315</v>
      </c>
      <c r="N69" s="10">
        <f t="shared" ref="N69:N75" si="19">K69+L69</f>
        <v>10000</v>
      </c>
    </row>
    <row r="70" spans="1:14" ht="23" customHeight="1" x14ac:dyDescent="0.25">
      <c r="A70" s="9">
        <v>58</v>
      </c>
      <c r="B70" s="9" t="s">
        <v>41</v>
      </c>
      <c r="C70" s="9" t="s">
        <v>150</v>
      </c>
      <c r="D70" s="9" t="s">
        <v>37</v>
      </c>
      <c r="E70" s="9" t="s">
        <v>38</v>
      </c>
      <c r="F70" s="9" t="s">
        <v>43</v>
      </c>
      <c r="G70" s="9" t="s">
        <v>42</v>
      </c>
      <c r="H70" s="9">
        <v>2013</v>
      </c>
      <c r="I70" s="9" t="s">
        <v>39</v>
      </c>
      <c r="J70" s="9" t="s">
        <v>40</v>
      </c>
      <c r="K70" s="10">
        <v>13800</v>
      </c>
      <c r="L70" s="10">
        <v>0</v>
      </c>
      <c r="M70" s="9" t="s">
        <v>44</v>
      </c>
      <c r="N70" s="10">
        <f t="shared" si="19"/>
        <v>13800</v>
      </c>
    </row>
    <row r="71" spans="1:14" ht="20" x14ac:dyDescent="0.25">
      <c r="A71" s="9">
        <v>59</v>
      </c>
      <c r="B71" s="9" t="s">
        <v>101</v>
      </c>
      <c r="C71" s="9" t="s">
        <v>150</v>
      </c>
      <c r="D71" s="9" t="s">
        <v>37</v>
      </c>
      <c r="E71" s="9" t="s">
        <v>102</v>
      </c>
      <c r="F71" s="9" t="s">
        <v>103</v>
      </c>
      <c r="G71" s="9" t="s">
        <v>104</v>
      </c>
      <c r="H71" s="9">
        <v>2023</v>
      </c>
      <c r="I71" s="9" t="s">
        <v>105</v>
      </c>
      <c r="J71" s="9" t="s">
        <v>106</v>
      </c>
      <c r="K71" s="10">
        <v>19200</v>
      </c>
      <c r="L71" s="10">
        <v>0</v>
      </c>
      <c r="M71" s="9" t="s">
        <v>107</v>
      </c>
      <c r="N71" s="10">
        <f t="shared" si="19"/>
        <v>19200</v>
      </c>
    </row>
    <row r="72" spans="1:14" ht="80" customHeight="1" x14ac:dyDescent="0.25">
      <c r="A72" s="6">
        <v>60</v>
      </c>
      <c r="B72" s="6" t="s">
        <v>118</v>
      </c>
      <c r="C72" s="6" t="s">
        <v>246</v>
      </c>
      <c r="D72" s="6" t="s">
        <v>36</v>
      </c>
      <c r="E72" s="6" t="s">
        <v>114</v>
      </c>
      <c r="F72" s="6" t="s">
        <v>110</v>
      </c>
      <c r="G72" s="6" t="s">
        <v>115</v>
      </c>
      <c r="H72" s="6">
        <v>2013</v>
      </c>
      <c r="I72" s="6" t="s">
        <v>111</v>
      </c>
      <c r="J72" s="6" t="s">
        <v>133</v>
      </c>
      <c r="K72" s="7">
        <v>0</v>
      </c>
      <c r="L72" s="7">
        <v>35000</v>
      </c>
      <c r="M72" s="6" t="s">
        <v>158</v>
      </c>
      <c r="N72" s="7">
        <f t="shared" si="19"/>
        <v>35000</v>
      </c>
    </row>
    <row r="73" spans="1:14" ht="80" customHeight="1" x14ac:dyDescent="0.25">
      <c r="A73" s="6">
        <v>61</v>
      </c>
      <c r="B73" s="6" t="s">
        <v>129</v>
      </c>
      <c r="C73" s="6" t="s">
        <v>244</v>
      </c>
      <c r="D73" s="6" t="s">
        <v>36</v>
      </c>
      <c r="E73" s="6" t="s">
        <v>114</v>
      </c>
      <c r="F73" s="6" t="s">
        <v>110</v>
      </c>
      <c r="G73" s="6" t="s">
        <v>115</v>
      </c>
      <c r="H73" s="6">
        <v>2013</v>
      </c>
      <c r="I73" s="6" t="s">
        <v>111</v>
      </c>
      <c r="J73" s="6" t="s">
        <v>133</v>
      </c>
      <c r="K73" s="7">
        <v>0</v>
      </c>
      <c r="L73" s="7">
        <v>35000</v>
      </c>
      <c r="M73" s="6" t="s">
        <v>158</v>
      </c>
      <c r="N73" s="7">
        <f t="shared" si="19"/>
        <v>35000</v>
      </c>
    </row>
    <row r="74" spans="1:14" ht="80" customHeight="1" x14ac:dyDescent="0.25">
      <c r="A74" s="6">
        <v>62</v>
      </c>
      <c r="B74" s="6" t="s">
        <v>113</v>
      </c>
      <c r="C74" s="6" t="s">
        <v>243</v>
      </c>
      <c r="D74" s="6" t="s">
        <v>36</v>
      </c>
      <c r="E74" s="6" t="s">
        <v>114</v>
      </c>
      <c r="F74" s="6" t="s">
        <v>110</v>
      </c>
      <c r="G74" s="6" t="s">
        <v>115</v>
      </c>
      <c r="H74" s="6">
        <v>2013</v>
      </c>
      <c r="I74" s="6" t="s">
        <v>111</v>
      </c>
      <c r="J74" s="6" t="s">
        <v>133</v>
      </c>
      <c r="K74" s="7">
        <v>0</v>
      </c>
      <c r="L74" s="7">
        <v>35000</v>
      </c>
      <c r="M74" s="6" t="s">
        <v>158</v>
      </c>
      <c r="N74" s="7">
        <f t="shared" si="19"/>
        <v>35000</v>
      </c>
    </row>
    <row r="75" spans="1:14" ht="80" customHeight="1" x14ac:dyDescent="0.25">
      <c r="A75" s="6">
        <v>63</v>
      </c>
      <c r="B75" s="6" t="s">
        <v>3</v>
      </c>
      <c r="C75" s="6" t="s">
        <v>247</v>
      </c>
      <c r="D75" s="6" t="s">
        <v>36</v>
      </c>
      <c r="E75" s="6" t="s">
        <v>114</v>
      </c>
      <c r="F75" s="6" t="s">
        <v>110</v>
      </c>
      <c r="G75" s="6" t="s">
        <v>169</v>
      </c>
      <c r="H75" s="6">
        <v>2013</v>
      </c>
      <c r="I75" s="6" t="s">
        <v>111</v>
      </c>
      <c r="J75" s="6" t="s">
        <v>111</v>
      </c>
      <c r="K75" s="7">
        <v>0</v>
      </c>
      <c r="L75" s="7">
        <v>25000</v>
      </c>
      <c r="M75" s="6" t="s">
        <v>170</v>
      </c>
      <c r="N75" s="7">
        <f t="shared" si="19"/>
        <v>25000</v>
      </c>
    </row>
    <row r="76" spans="1:14" ht="21" customHeight="1" x14ac:dyDescent="0.25">
      <c r="A76" s="6">
        <v>64</v>
      </c>
      <c r="B76" s="6" t="s">
        <v>3</v>
      </c>
      <c r="C76" s="6" t="s">
        <v>295</v>
      </c>
      <c r="D76" s="6" t="s">
        <v>36</v>
      </c>
      <c r="E76" s="6" t="s">
        <v>114</v>
      </c>
      <c r="F76" s="6" t="s">
        <v>97</v>
      </c>
      <c r="G76" s="6" t="s">
        <v>42</v>
      </c>
      <c r="H76" s="6">
        <v>2016</v>
      </c>
      <c r="I76" s="6" t="s">
        <v>3</v>
      </c>
      <c r="J76" s="6" t="s">
        <v>3</v>
      </c>
      <c r="K76" s="7">
        <v>0</v>
      </c>
      <c r="L76" s="7">
        <v>16000</v>
      </c>
      <c r="M76" s="6" t="s">
        <v>296</v>
      </c>
      <c r="N76" s="7">
        <f t="shared" ref="N76:N78" si="20">K76+L76</f>
        <v>16000</v>
      </c>
    </row>
    <row r="77" spans="1:14" ht="21" customHeight="1" x14ac:dyDescent="0.25">
      <c r="A77" s="6">
        <v>65</v>
      </c>
      <c r="B77" s="6" t="s">
        <v>3</v>
      </c>
      <c r="C77" s="6" t="s">
        <v>299</v>
      </c>
      <c r="D77" s="6" t="s">
        <v>36</v>
      </c>
      <c r="E77" s="6" t="s">
        <v>114</v>
      </c>
      <c r="F77" s="6" t="s">
        <v>98</v>
      </c>
      <c r="G77" s="6" t="s">
        <v>100</v>
      </c>
      <c r="H77" s="6">
        <v>2016</v>
      </c>
      <c r="I77" s="6" t="s">
        <v>3</v>
      </c>
      <c r="J77" s="6" t="s">
        <v>3</v>
      </c>
      <c r="K77" s="7">
        <v>0</v>
      </c>
      <c r="L77" s="7">
        <v>16000</v>
      </c>
      <c r="M77" s="6" t="s">
        <v>297</v>
      </c>
      <c r="N77" s="7">
        <f t="shared" si="20"/>
        <v>16000</v>
      </c>
    </row>
    <row r="78" spans="1:14" ht="24.5" customHeight="1" x14ac:dyDescent="0.25">
      <c r="A78" s="6">
        <v>66</v>
      </c>
      <c r="B78" s="6" t="s">
        <v>3</v>
      </c>
      <c r="C78" s="6" t="s">
        <v>300</v>
      </c>
      <c r="D78" s="6" t="s">
        <v>36</v>
      </c>
      <c r="E78" s="6" t="s">
        <v>114</v>
      </c>
      <c r="F78" s="6" t="s">
        <v>99</v>
      </c>
      <c r="G78" s="6" t="s">
        <v>42</v>
      </c>
      <c r="H78" s="6">
        <v>2016</v>
      </c>
      <c r="I78" s="6" t="s">
        <v>3</v>
      </c>
      <c r="J78" s="6" t="s">
        <v>3</v>
      </c>
      <c r="K78" s="7">
        <v>0</v>
      </c>
      <c r="L78" s="7">
        <v>14000</v>
      </c>
      <c r="M78" s="6" t="s">
        <v>298</v>
      </c>
      <c r="N78" s="7">
        <f t="shared" si="20"/>
        <v>14000</v>
      </c>
    </row>
    <row r="79" spans="1:14" ht="60" customHeight="1" x14ac:dyDescent="0.25">
      <c r="A79" s="6" t="s">
        <v>289</v>
      </c>
      <c r="B79" s="6" t="s">
        <v>3</v>
      </c>
      <c r="C79" s="6" t="s">
        <v>150</v>
      </c>
      <c r="D79" s="6" t="s">
        <v>36</v>
      </c>
      <c r="E79" s="6" t="s">
        <v>120</v>
      </c>
      <c r="F79" s="6" t="s">
        <v>110</v>
      </c>
      <c r="G79" s="6" t="s">
        <v>16</v>
      </c>
      <c r="H79" s="6">
        <v>2018</v>
      </c>
      <c r="I79" s="6" t="s">
        <v>111</v>
      </c>
      <c r="J79" s="6" t="s">
        <v>137</v>
      </c>
      <c r="K79" s="7">
        <v>23000</v>
      </c>
      <c r="L79" s="7">
        <v>0</v>
      </c>
      <c r="M79" s="6" t="s">
        <v>124</v>
      </c>
      <c r="N79" s="7">
        <f t="shared" ref="N79:N89" si="21">K79+L79</f>
        <v>23000</v>
      </c>
    </row>
    <row r="80" spans="1:14" ht="60" customHeight="1" x14ac:dyDescent="0.25">
      <c r="A80" s="6" t="s">
        <v>290</v>
      </c>
      <c r="B80" s="6" t="s">
        <v>150</v>
      </c>
      <c r="C80" s="6" t="s">
        <v>212</v>
      </c>
      <c r="D80" s="6" t="s">
        <v>36</v>
      </c>
      <c r="E80" s="6" t="s">
        <v>122</v>
      </c>
      <c r="F80" s="6" t="s">
        <v>123</v>
      </c>
      <c r="G80" s="6" t="s">
        <v>16</v>
      </c>
      <c r="H80" s="6">
        <v>2018</v>
      </c>
      <c r="I80" s="6" t="s">
        <v>111</v>
      </c>
      <c r="J80" s="6" t="s">
        <v>111</v>
      </c>
      <c r="K80" s="7">
        <v>0</v>
      </c>
      <c r="L80" s="7">
        <v>6000</v>
      </c>
      <c r="M80" s="6" t="s">
        <v>151</v>
      </c>
      <c r="N80" s="7">
        <f t="shared" si="21"/>
        <v>6000</v>
      </c>
    </row>
    <row r="81" spans="1:14" ht="60" customHeight="1" x14ac:dyDescent="0.25">
      <c r="A81" s="6" t="s">
        <v>291</v>
      </c>
      <c r="B81" s="6" t="s">
        <v>255</v>
      </c>
      <c r="C81" s="6" t="s">
        <v>150</v>
      </c>
      <c r="D81" s="6" t="s">
        <v>36</v>
      </c>
      <c r="E81" s="6" t="s">
        <v>120</v>
      </c>
      <c r="F81" s="6" t="s">
        <v>110</v>
      </c>
      <c r="G81" s="6" t="s">
        <v>16</v>
      </c>
      <c r="H81" s="6">
        <v>2018</v>
      </c>
      <c r="I81" s="6" t="s">
        <v>111</v>
      </c>
      <c r="J81" s="6" t="s">
        <v>137</v>
      </c>
      <c r="K81" s="7">
        <v>23000</v>
      </c>
      <c r="L81" s="7">
        <v>0</v>
      </c>
      <c r="M81" s="6" t="s">
        <v>124</v>
      </c>
      <c r="N81" s="7">
        <f t="shared" si="21"/>
        <v>23000</v>
      </c>
    </row>
    <row r="82" spans="1:14" ht="60" customHeight="1" x14ac:dyDescent="0.25">
      <c r="A82" s="6" t="s">
        <v>292</v>
      </c>
      <c r="B82" s="6" t="s">
        <v>150</v>
      </c>
      <c r="C82" s="6" t="s">
        <v>254</v>
      </c>
      <c r="D82" s="6" t="s">
        <v>36</v>
      </c>
      <c r="E82" s="6" t="s">
        <v>122</v>
      </c>
      <c r="F82" s="6" t="s">
        <v>123</v>
      </c>
      <c r="G82" s="6" t="s">
        <v>16</v>
      </c>
      <c r="H82" s="6">
        <v>2018</v>
      </c>
      <c r="I82" s="6" t="s">
        <v>111</v>
      </c>
      <c r="J82" s="6" t="s">
        <v>111</v>
      </c>
      <c r="K82" s="7">
        <v>0</v>
      </c>
      <c r="L82" s="7">
        <v>6000</v>
      </c>
      <c r="M82" s="6" t="s">
        <v>151</v>
      </c>
      <c r="N82" s="7">
        <f t="shared" si="21"/>
        <v>6000</v>
      </c>
    </row>
    <row r="83" spans="1:14" ht="60" customHeight="1" x14ac:dyDescent="0.25">
      <c r="A83" s="6" t="s">
        <v>293</v>
      </c>
      <c r="B83" s="6" t="s">
        <v>3</v>
      </c>
      <c r="C83" s="6" t="s">
        <v>150</v>
      </c>
      <c r="D83" s="6" t="s">
        <v>36</v>
      </c>
      <c r="E83" s="6" t="s">
        <v>120</v>
      </c>
      <c r="F83" s="6" t="s">
        <v>110</v>
      </c>
      <c r="G83" s="6" t="s">
        <v>16</v>
      </c>
      <c r="H83" s="6">
        <v>2018</v>
      </c>
      <c r="I83" s="6" t="s">
        <v>111</v>
      </c>
      <c r="J83" s="6" t="s">
        <v>137</v>
      </c>
      <c r="K83" s="7">
        <v>23000</v>
      </c>
      <c r="L83" s="7">
        <v>0</v>
      </c>
      <c r="M83" s="6" t="s">
        <v>124</v>
      </c>
      <c r="N83" s="7">
        <f t="shared" si="21"/>
        <v>23000</v>
      </c>
    </row>
    <row r="84" spans="1:14" ht="60" customHeight="1" x14ac:dyDescent="0.25">
      <c r="A84" s="6" t="s">
        <v>294</v>
      </c>
      <c r="B84" s="6" t="s">
        <v>150</v>
      </c>
      <c r="C84" s="6" t="s">
        <v>257</v>
      </c>
      <c r="D84" s="6" t="s">
        <v>36</v>
      </c>
      <c r="E84" s="6" t="s">
        <v>122</v>
      </c>
      <c r="F84" s="6" t="s">
        <v>123</v>
      </c>
      <c r="G84" s="6" t="s">
        <v>16</v>
      </c>
      <c r="H84" s="6">
        <v>2018</v>
      </c>
      <c r="I84" s="6" t="s">
        <v>111</v>
      </c>
      <c r="J84" s="6" t="s">
        <v>111</v>
      </c>
      <c r="K84" s="7">
        <v>0</v>
      </c>
      <c r="L84" s="7">
        <v>6000</v>
      </c>
      <c r="M84" s="6" t="s">
        <v>151</v>
      </c>
      <c r="N84" s="7">
        <f t="shared" si="21"/>
        <v>6000</v>
      </c>
    </row>
    <row r="85" spans="1:14" ht="60" customHeight="1" x14ac:dyDescent="0.25">
      <c r="A85" s="6" t="s">
        <v>304</v>
      </c>
      <c r="B85" s="6" t="s">
        <v>3</v>
      </c>
      <c r="C85" s="6" t="s">
        <v>150</v>
      </c>
      <c r="D85" s="6" t="s">
        <v>36</v>
      </c>
      <c r="E85" s="6" t="s">
        <v>120</v>
      </c>
      <c r="F85" s="6" t="s">
        <v>110</v>
      </c>
      <c r="G85" s="6" t="s">
        <v>16</v>
      </c>
      <c r="H85" s="6">
        <v>2019</v>
      </c>
      <c r="I85" s="6" t="s">
        <v>111</v>
      </c>
      <c r="J85" s="6" t="s">
        <v>137</v>
      </c>
      <c r="K85" s="7">
        <v>23000</v>
      </c>
      <c r="L85" s="7">
        <v>0</v>
      </c>
      <c r="M85" s="6" t="s">
        <v>124</v>
      </c>
      <c r="N85" s="7">
        <f t="shared" si="21"/>
        <v>23000</v>
      </c>
    </row>
    <row r="86" spans="1:14" ht="60" customHeight="1" x14ac:dyDescent="0.25">
      <c r="A86" s="6" t="s">
        <v>305</v>
      </c>
      <c r="B86" s="6" t="s">
        <v>150</v>
      </c>
      <c r="C86" s="6" t="s">
        <v>258</v>
      </c>
      <c r="D86" s="6" t="s">
        <v>36</v>
      </c>
      <c r="E86" s="6" t="s">
        <v>122</v>
      </c>
      <c r="F86" s="6" t="s">
        <v>123</v>
      </c>
      <c r="G86" s="6" t="s">
        <v>16</v>
      </c>
      <c r="H86" s="6">
        <v>2019</v>
      </c>
      <c r="I86" s="6" t="s">
        <v>111</v>
      </c>
      <c r="J86" s="6" t="s">
        <v>111</v>
      </c>
      <c r="K86" s="7">
        <v>0</v>
      </c>
      <c r="L86" s="7">
        <v>6000</v>
      </c>
      <c r="M86" s="6" t="s">
        <v>151</v>
      </c>
      <c r="N86" s="7">
        <f t="shared" si="21"/>
        <v>6000</v>
      </c>
    </row>
    <row r="87" spans="1:14" ht="60" customHeight="1" x14ac:dyDescent="0.25">
      <c r="A87" s="6" t="s">
        <v>306</v>
      </c>
      <c r="B87" s="6" t="s">
        <v>3</v>
      </c>
      <c r="C87" s="6" t="s">
        <v>150</v>
      </c>
      <c r="D87" s="6" t="s">
        <v>36</v>
      </c>
      <c r="E87" s="6" t="s">
        <v>120</v>
      </c>
      <c r="F87" s="6" t="s">
        <v>110</v>
      </c>
      <c r="G87" s="6" t="s">
        <v>16</v>
      </c>
      <c r="H87" s="6">
        <v>2020</v>
      </c>
      <c r="I87" s="6" t="s">
        <v>111</v>
      </c>
      <c r="J87" s="6" t="s">
        <v>137</v>
      </c>
      <c r="K87" s="7">
        <v>23000</v>
      </c>
      <c r="L87" s="7">
        <v>0</v>
      </c>
      <c r="M87" s="6" t="s">
        <v>124</v>
      </c>
      <c r="N87" s="7">
        <f t="shared" si="21"/>
        <v>23000</v>
      </c>
    </row>
    <row r="88" spans="1:14" ht="60" customHeight="1" x14ac:dyDescent="0.25">
      <c r="A88" s="6" t="s">
        <v>307</v>
      </c>
      <c r="B88" s="6" t="s">
        <v>150</v>
      </c>
      <c r="C88" s="6" t="s">
        <v>259</v>
      </c>
      <c r="D88" s="6" t="s">
        <v>36</v>
      </c>
      <c r="E88" s="6" t="s">
        <v>122</v>
      </c>
      <c r="F88" s="6" t="s">
        <v>123</v>
      </c>
      <c r="G88" s="6" t="s">
        <v>16</v>
      </c>
      <c r="H88" s="6">
        <v>2020</v>
      </c>
      <c r="I88" s="6" t="s">
        <v>111</v>
      </c>
      <c r="J88" s="6" t="s">
        <v>111</v>
      </c>
      <c r="K88" s="7">
        <v>0</v>
      </c>
      <c r="L88" s="7">
        <v>6000</v>
      </c>
      <c r="M88" s="6" t="s">
        <v>151</v>
      </c>
      <c r="N88" s="7">
        <f t="shared" si="21"/>
        <v>6000</v>
      </c>
    </row>
    <row r="89" spans="1:14" ht="73" customHeight="1" x14ac:dyDescent="0.25">
      <c r="A89" s="6">
        <v>72</v>
      </c>
      <c r="B89" s="6" t="s">
        <v>3</v>
      </c>
      <c r="C89" s="6" t="s">
        <v>269</v>
      </c>
      <c r="D89" s="6" t="s">
        <v>36</v>
      </c>
      <c r="E89" s="6" t="s">
        <v>75</v>
      </c>
      <c r="F89" s="6" t="s">
        <v>142</v>
      </c>
      <c r="G89" s="6" t="s">
        <v>77</v>
      </c>
      <c r="H89" s="6">
        <v>2016</v>
      </c>
      <c r="I89" s="6" t="s">
        <v>111</v>
      </c>
      <c r="J89" s="6" t="s">
        <v>111</v>
      </c>
      <c r="K89" s="7">
        <v>0</v>
      </c>
      <c r="L89" s="7">
        <v>28000</v>
      </c>
      <c r="M89" s="6" t="s">
        <v>174</v>
      </c>
      <c r="N89" s="7">
        <f t="shared" si="21"/>
        <v>28000</v>
      </c>
    </row>
    <row r="90" spans="1:14" ht="75.5" customHeight="1" x14ac:dyDescent="0.25">
      <c r="A90" s="6">
        <v>73</v>
      </c>
      <c r="B90" s="6" t="s">
        <v>3</v>
      </c>
      <c r="C90" s="6" t="s">
        <v>270</v>
      </c>
      <c r="D90" s="6" t="s">
        <v>36</v>
      </c>
      <c r="E90" s="6" t="s">
        <v>76</v>
      </c>
      <c r="F90" s="6" t="s">
        <v>142</v>
      </c>
      <c r="G90" s="6" t="s">
        <v>26</v>
      </c>
      <c r="H90" s="6">
        <v>2021</v>
      </c>
      <c r="I90" s="6" t="s">
        <v>111</v>
      </c>
      <c r="J90" s="6" t="s">
        <v>111</v>
      </c>
      <c r="K90" s="7">
        <v>0</v>
      </c>
      <c r="L90" s="7">
        <v>32000</v>
      </c>
      <c r="M90" s="6" t="s">
        <v>175</v>
      </c>
      <c r="N90" s="7">
        <f t="shared" ref="N90" si="22">K90+L90</f>
        <v>32000</v>
      </c>
    </row>
    <row r="91" spans="1:14" ht="80" customHeight="1" x14ac:dyDescent="0.25">
      <c r="A91" s="6">
        <v>74</v>
      </c>
      <c r="B91" s="6" t="s">
        <v>3</v>
      </c>
      <c r="C91" s="6" t="s">
        <v>281</v>
      </c>
      <c r="D91" s="6" t="s">
        <v>36</v>
      </c>
      <c r="E91" s="6" t="s">
        <v>96</v>
      </c>
      <c r="F91" s="6" t="s">
        <v>142</v>
      </c>
      <c r="G91" s="6" t="s">
        <v>176</v>
      </c>
      <c r="H91" s="6">
        <v>2024</v>
      </c>
      <c r="I91" s="6" t="s">
        <v>111</v>
      </c>
      <c r="J91" s="6" t="s">
        <v>111</v>
      </c>
      <c r="K91" s="7">
        <v>0</v>
      </c>
      <c r="L91" s="7">
        <v>28000</v>
      </c>
      <c r="M91" s="6" t="s">
        <v>174</v>
      </c>
      <c r="N91" s="7">
        <f t="shared" ref="N91" si="23">K91+L91</f>
        <v>28000</v>
      </c>
    </row>
    <row r="92" spans="1:14" ht="80" customHeight="1" x14ac:dyDescent="0.25">
      <c r="A92" s="6">
        <v>75</v>
      </c>
      <c r="B92" s="6" t="s">
        <v>3</v>
      </c>
      <c r="C92" s="6" t="s">
        <v>283</v>
      </c>
      <c r="D92" s="6" t="s">
        <v>36</v>
      </c>
      <c r="E92" s="6" t="s">
        <v>282</v>
      </c>
      <c r="F92" s="6" t="s">
        <v>142</v>
      </c>
      <c r="G92" s="6" t="s">
        <v>176</v>
      </c>
      <c r="H92" s="6">
        <v>2024</v>
      </c>
      <c r="I92" s="6" t="s">
        <v>111</v>
      </c>
      <c r="J92" s="6" t="s">
        <v>111</v>
      </c>
      <c r="K92" s="7">
        <v>0</v>
      </c>
      <c r="L92" s="7">
        <v>28000</v>
      </c>
      <c r="M92" s="6" t="s">
        <v>284</v>
      </c>
      <c r="N92" s="7">
        <f t="shared" ref="N92:N94" si="24">K92+L92</f>
        <v>28000</v>
      </c>
    </row>
    <row r="93" spans="1:14" ht="60" customHeight="1" x14ac:dyDescent="0.25">
      <c r="A93" s="6" t="s">
        <v>308</v>
      </c>
      <c r="B93" s="6" t="s">
        <v>3</v>
      </c>
      <c r="C93" s="6" t="s">
        <v>150</v>
      </c>
      <c r="D93" s="6" t="s">
        <v>36</v>
      </c>
      <c r="E93" s="6" t="s">
        <v>120</v>
      </c>
      <c r="F93" s="6" t="s">
        <v>142</v>
      </c>
      <c r="G93" s="6" t="s">
        <v>34</v>
      </c>
      <c r="H93" s="6">
        <v>2011</v>
      </c>
      <c r="I93" s="6" t="s">
        <v>111</v>
      </c>
      <c r="J93" s="6" t="s">
        <v>111</v>
      </c>
      <c r="K93" s="7">
        <v>5500</v>
      </c>
      <c r="L93" s="7">
        <v>0</v>
      </c>
      <c r="M93" s="6" t="s">
        <v>143</v>
      </c>
      <c r="N93" s="7">
        <f t="shared" si="24"/>
        <v>5500</v>
      </c>
    </row>
    <row r="94" spans="1:14" ht="60" customHeight="1" x14ac:dyDescent="0.25">
      <c r="A94" s="6" t="s">
        <v>309</v>
      </c>
      <c r="B94" s="6" t="s">
        <v>207</v>
      </c>
      <c r="C94" s="6" t="s">
        <v>3</v>
      </c>
      <c r="D94" s="6" t="s">
        <v>36</v>
      </c>
      <c r="E94" s="6" t="s">
        <v>144</v>
      </c>
      <c r="F94" s="6" t="s">
        <v>123</v>
      </c>
      <c r="G94" s="6" t="s">
        <v>20</v>
      </c>
      <c r="H94" s="6">
        <v>2011</v>
      </c>
      <c r="I94" s="6" t="s">
        <v>111</v>
      </c>
      <c r="J94" s="6" t="s">
        <v>111</v>
      </c>
      <c r="K94" s="7">
        <v>0</v>
      </c>
      <c r="L94" s="7">
        <v>4300</v>
      </c>
      <c r="M94" s="6" t="s">
        <v>146</v>
      </c>
      <c r="N94" s="7">
        <f t="shared" si="24"/>
        <v>4300</v>
      </c>
    </row>
    <row r="95" spans="1:14" ht="60" customHeight="1" x14ac:dyDescent="0.25">
      <c r="A95" s="6" t="s">
        <v>310</v>
      </c>
      <c r="B95" s="6" t="s">
        <v>3</v>
      </c>
      <c r="C95" s="6" t="s">
        <v>150</v>
      </c>
      <c r="D95" s="6" t="s">
        <v>36</v>
      </c>
      <c r="E95" s="6" t="s">
        <v>120</v>
      </c>
      <c r="F95" s="6" t="s">
        <v>142</v>
      </c>
      <c r="G95" s="6" t="s">
        <v>34</v>
      </c>
      <c r="H95" s="6">
        <v>2011</v>
      </c>
      <c r="I95" s="6" t="s">
        <v>111</v>
      </c>
      <c r="J95" s="6" t="s">
        <v>111</v>
      </c>
      <c r="K95" s="7">
        <v>5500</v>
      </c>
      <c r="L95" s="7">
        <v>0</v>
      </c>
      <c r="M95" s="6" t="s">
        <v>143</v>
      </c>
      <c r="N95" s="7">
        <f t="shared" ref="N95:N96" si="25">K95+L95</f>
        <v>5500</v>
      </c>
    </row>
    <row r="96" spans="1:14" ht="60" customHeight="1" x14ac:dyDescent="0.25">
      <c r="A96" s="6" t="s">
        <v>311</v>
      </c>
      <c r="B96" s="6" t="s">
        <v>208</v>
      </c>
      <c r="C96" s="6" t="s">
        <v>3</v>
      </c>
      <c r="D96" s="6" t="s">
        <v>36</v>
      </c>
      <c r="E96" s="6" t="s">
        <v>144</v>
      </c>
      <c r="F96" s="6" t="s">
        <v>123</v>
      </c>
      <c r="G96" s="6" t="s">
        <v>20</v>
      </c>
      <c r="H96" s="6">
        <v>2011</v>
      </c>
      <c r="I96" s="6" t="s">
        <v>111</v>
      </c>
      <c r="J96" s="6" t="s">
        <v>111</v>
      </c>
      <c r="K96" s="7">
        <v>0</v>
      </c>
      <c r="L96" s="7">
        <v>4300</v>
      </c>
      <c r="M96" s="6" t="s">
        <v>146</v>
      </c>
      <c r="N96" s="7">
        <f t="shared" si="25"/>
        <v>4300</v>
      </c>
    </row>
    <row r="97" spans="1:14" ht="60" customHeight="1" x14ac:dyDescent="0.25">
      <c r="A97" s="6" t="s">
        <v>312</v>
      </c>
      <c r="B97" s="6" t="s">
        <v>3</v>
      </c>
      <c r="C97" s="6" t="s">
        <v>150</v>
      </c>
      <c r="D97" s="6" t="s">
        <v>36</v>
      </c>
      <c r="E97" s="6" t="s">
        <v>120</v>
      </c>
      <c r="F97" s="6" t="s">
        <v>142</v>
      </c>
      <c r="G97" s="6" t="s">
        <v>34</v>
      </c>
      <c r="H97" s="6">
        <v>2011</v>
      </c>
      <c r="I97" s="6" t="s">
        <v>111</v>
      </c>
      <c r="J97" s="6" t="s">
        <v>111</v>
      </c>
      <c r="K97" s="7">
        <v>5500</v>
      </c>
      <c r="L97" s="7">
        <v>0</v>
      </c>
      <c r="M97" s="6" t="s">
        <v>143</v>
      </c>
      <c r="N97" s="7">
        <f t="shared" ref="N97:N98" si="26">K97+L97</f>
        <v>5500</v>
      </c>
    </row>
    <row r="98" spans="1:14" ht="60" customHeight="1" x14ac:dyDescent="0.25">
      <c r="A98" s="6" t="s">
        <v>313</v>
      </c>
      <c r="B98" s="6" t="s">
        <v>209</v>
      </c>
      <c r="C98" s="6" t="s">
        <v>3</v>
      </c>
      <c r="D98" s="6" t="s">
        <v>36</v>
      </c>
      <c r="E98" s="6" t="s">
        <v>144</v>
      </c>
      <c r="F98" s="6" t="s">
        <v>123</v>
      </c>
      <c r="G98" s="6" t="s">
        <v>20</v>
      </c>
      <c r="H98" s="6">
        <v>2011</v>
      </c>
      <c r="I98" s="6" t="s">
        <v>111</v>
      </c>
      <c r="J98" s="6" t="s">
        <v>111</v>
      </c>
      <c r="K98" s="7">
        <v>0</v>
      </c>
      <c r="L98" s="7">
        <v>4300</v>
      </c>
      <c r="M98" s="6" t="s">
        <v>146</v>
      </c>
      <c r="N98" s="7">
        <f t="shared" si="26"/>
        <v>4300</v>
      </c>
    </row>
    <row r="99" spans="1:14" ht="11.5" x14ac:dyDescent="0.25">
      <c r="M99" s="8" t="s">
        <v>333</v>
      </c>
      <c r="N99" s="14">
        <f>SUM(N4:N98)</f>
        <v>3679702</v>
      </c>
    </row>
  </sheetData>
  <autoFilter ref="A3:N99" xr:uid="{00000000-0001-0000-0000-000000000000}"/>
  <sortState xmlns:xlrd2="http://schemas.microsoft.com/office/spreadsheetml/2017/richdata2" ref="A4:M60">
    <sortCondition ref="H4:H60"/>
  </sortState>
  <phoneticPr fontId="23" type="noConversion"/>
  <pageMargins left="0.15748031496062992" right="0.11811023622047245" top="0.74803149606299213" bottom="0.74803149606299213" header="0.31496062992125984" footer="0.31496062992125984"/>
  <pageSetup scale="75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VehiculosTransmonserrate2025</vt:lpstr>
    </vt:vector>
  </TitlesOfParts>
  <Company>Gondi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 Interno</dc:creator>
  <cp:lastModifiedBy>Victor Traverso</cp:lastModifiedBy>
  <cp:lastPrinted>2017-12-11T15:07:30Z</cp:lastPrinted>
  <dcterms:created xsi:type="dcterms:W3CDTF">2012-07-19T14:25:07Z</dcterms:created>
  <dcterms:modified xsi:type="dcterms:W3CDTF">2026-01-06T21:07:08Z</dcterms:modified>
</cp:coreProperties>
</file>